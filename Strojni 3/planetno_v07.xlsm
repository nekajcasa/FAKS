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tim\git\FAKS\Strojni 3\"/>
    </mc:Choice>
  </mc:AlternateContent>
  <xr:revisionPtr revIDLastSave="0" documentId="13_ncr:1_{42EDE2DF-6E3D-4F73-8358-CB0330BD2CC0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Korak_1" sheetId="5" r:id="rId1"/>
    <sheet name="Korak_2" sheetId="3" r:id="rId2"/>
    <sheet name="Korak_3" sheetId="1" r:id="rId3"/>
    <sheet name="Peskovnik" sheetId="2" state="hidden" r:id="rId4"/>
    <sheet name="Pomožno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F7" i="1"/>
  <c r="F6" i="1"/>
  <c r="AH30" i="3" l="1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B5" i="1" l="1"/>
  <c r="F5" i="1"/>
  <c r="F50" i="1"/>
  <c r="F49" i="1"/>
  <c r="B49" i="1"/>
  <c r="C5" i="5"/>
  <c r="B3" i="3" s="1"/>
  <c r="B2" i="3"/>
  <c r="C7" i="5"/>
  <c r="B7" i="5"/>
  <c r="H53" i="1"/>
  <c r="H50" i="1"/>
  <c r="H32" i="1"/>
  <c r="H30" i="1"/>
  <c r="F44" i="1"/>
  <c r="F37" i="1"/>
  <c r="F13" i="1"/>
  <c r="B6" i="5"/>
  <c r="F36" i="1"/>
  <c r="B13" i="1"/>
  <c r="B3" i="5"/>
  <c r="F28" i="1" l="1"/>
  <c r="B8" i="5"/>
  <c r="H47" i="1"/>
  <c r="B4" i="3"/>
  <c r="B4" i="5"/>
  <c r="H55" i="1"/>
  <c r="F38" i="1"/>
  <c r="D50" i="1"/>
  <c r="D32" i="1"/>
  <c r="D30" i="1"/>
  <c r="F39" i="1" l="1"/>
  <c r="F40" i="1" s="1"/>
  <c r="D25" i="2"/>
  <c r="D53" i="1"/>
  <c r="D55" i="1" s="1"/>
  <c r="B50" i="1"/>
  <c r="D47" i="1"/>
  <c r="B44" i="1"/>
  <c r="F9" i="1" l="1"/>
  <c r="B9" i="1"/>
  <c r="B36" i="1"/>
  <c r="B37" i="1"/>
  <c r="F29" i="1" l="1"/>
  <c r="B38" i="1"/>
  <c r="B29" i="1"/>
  <c r="B28" i="1"/>
  <c r="B39" i="1" l="1"/>
  <c r="B40" i="1" s="1"/>
  <c r="B27" i="2"/>
  <c r="B24" i="2"/>
  <c r="B30" i="2" s="1"/>
  <c r="B31" i="2" l="1"/>
  <c r="B16" i="3"/>
  <c r="E30" i="3"/>
  <c r="B13" i="3" l="1"/>
  <c r="B12" i="3" l="1"/>
  <c r="N4" i="3" s="1"/>
  <c r="AQ4" i="3" s="1"/>
  <c r="N9" i="3" l="1"/>
  <c r="AQ9" i="3" s="1"/>
  <c r="N25" i="3"/>
  <c r="AQ25" i="3" s="1"/>
  <c r="N7" i="3"/>
  <c r="AQ7" i="3" s="1"/>
  <c r="N24" i="3"/>
  <c r="AQ24" i="3" s="1"/>
  <c r="N5" i="3"/>
  <c r="AQ5" i="3" s="1"/>
  <c r="N6" i="3"/>
  <c r="AQ6" i="3" s="1"/>
  <c r="N17" i="3"/>
  <c r="AQ17" i="3" s="1"/>
  <c r="N18" i="3"/>
  <c r="AQ18" i="3" s="1"/>
  <c r="N10" i="3"/>
  <c r="AQ10" i="3" s="1"/>
  <c r="N19" i="3"/>
  <c r="AQ19" i="3" s="1"/>
  <c r="N26" i="3"/>
  <c r="AQ26" i="3" s="1"/>
  <c r="N13" i="3"/>
  <c r="AQ13" i="3" s="1"/>
  <c r="N8" i="3"/>
  <c r="AQ8" i="3" s="1"/>
  <c r="N15" i="3"/>
  <c r="AQ15" i="3" s="1"/>
  <c r="N21" i="3"/>
  <c r="AQ21" i="3" s="1"/>
  <c r="N29" i="3"/>
  <c r="AQ29" i="3" s="1"/>
  <c r="N20" i="3"/>
  <c r="AQ20" i="3" s="1"/>
  <c r="N28" i="3"/>
  <c r="AQ28" i="3" s="1"/>
  <c r="N11" i="3"/>
  <c r="AQ11" i="3" s="1"/>
  <c r="N27" i="3"/>
  <c r="AQ27" i="3" s="1"/>
  <c r="N12" i="3"/>
  <c r="AQ12" i="3" s="1"/>
  <c r="N22" i="3"/>
  <c r="AQ22" i="3" s="1"/>
  <c r="N16" i="3"/>
  <c r="AQ16" i="3" s="1"/>
  <c r="N14" i="3"/>
  <c r="AQ14" i="3" s="1"/>
  <c r="N23" i="3"/>
  <c r="AQ23" i="3" s="1"/>
  <c r="N30" i="3"/>
  <c r="AQ30" i="3" s="1"/>
  <c r="U4" i="3"/>
  <c r="B10" i="2"/>
  <c r="B11" i="2"/>
  <c r="B12" i="2"/>
  <c r="B13" i="2"/>
  <c r="B14" i="2"/>
  <c r="B15" i="2"/>
  <c r="B16" i="2"/>
  <c r="F7" i="2"/>
  <c r="B7" i="2"/>
  <c r="B8" i="2" s="1"/>
  <c r="C6" i="2"/>
  <c r="D6" i="2" s="1"/>
  <c r="B5" i="2"/>
  <c r="D2" i="2" s="1"/>
  <c r="F4" i="2"/>
  <c r="C4" i="2"/>
  <c r="D4" i="2" s="1"/>
  <c r="B15" i="1"/>
  <c r="L12" i="3" l="1"/>
  <c r="U12" i="3"/>
  <c r="L5" i="3"/>
  <c r="U5" i="3"/>
  <c r="U30" i="3"/>
  <c r="L30" i="3"/>
  <c r="L27" i="3"/>
  <c r="U27" i="3"/>
  <c r="L24" i="3"/>
  <c r="U24" i="3"/>
  <c r="U23" i="3"/>
  <c r="L23" i="3"/>
  <c r="L11" i="3"/>
  <c r="U11" i="3"/>
  <c r="U7" i="3"/>
  <c r="L7" i="3"/>
  <c r="U6" i="3"/>
  <c r="L6" i="3"/>
  <c r="L28" i="3"/>
  <c r="U28" i="3"/>
  <c r="U25" i="3"/>
  <c r="L25" i="3"/>
  <c r="U10" i="3"/>
  <c r="L10" i="3"/>
  <c r="L20" i="3"/>
  <c r="U20" i="3"/>
  <c r="U9" i="3"/>
  <c r="L9" i="3"/>
  <c r="U14" i="3"/>
  <c r="L14" i="3"/>
  <c r="U29" i="3"/>
  <c r="L29" i="3"/>
  <c r="U19" i="3"/>
  <c r="L19" i="3"/>
  <c r="U17" i="3"/>
  <c r="L17" i="3"/>
  <c r="L21" i="3"/>
  <c r="U21" i="3"/>
  <c r="L18" i="3"/>
  <c r="U18" i="3"/>
  <c r="L15" i="3"/>
  <c r="U15" i="3"/>
  <c r="L8" i="3"/>
  <c r="U8" i="3"/>
  <c r="U22" i="3"/>
  <c r="L22" i="3"/>
  <c r="U13" i="3"/>
  <c r="L13" i="3"/>
  <c r="U16" i="3"/>
  <c r="L16" i="3"/>
  <c r="U26" i="3"/>
  <c r="L26" i="3"/>
  <c r="F6" i="2"/>
  <c r="F12" i="2" s="1"/>
  <c r="L4" i="3"/>
  <c r="G8" i="2"/>
  <c r="C5" i="2"/>
  <c r="G4" i="2"/>
  <c r="B16" i="1"/>
  <c r="B14" i="1"/>
  <c r="AL14" i="3" l="1"/>
  <c r="AK14" i="3"/>
  <c r="AK8" i="3"/>
  <c r="AL8" i="3"/>
  <c r="AL24" i="3"/>
  <c r="AK24" i="3"/>
  <c r="AL29" i="3"/>
  <c r="AK29" i="3"/>
  <c r="AL7" i="3"/>
  <c r="AK7" i="3"/>
  <c r="AL22" i="3"/>
  <c r="AK22" i="3"/>
  <c r="AK9" i="3"/>
  <c r="AL9" i="3"/>
  <c r="AL10" i="3"/>
  <c r="AK10" i="3"/>
  <c r="AL28" i="3"/>
  <c r="AK28" i="3"/>
  <c r="AK5" i="3"/>
  <c r="AL5" i="3"/>
  <c r="AK23" i="3"/>
  <c r="AL23" i="3"/>
  <c r="AL15" i="3"/>
  <c r="AK15" i="3"/>
  <c r="AL4" i="3"/>
  <c r="AK4" i="3"/>
  <c r="AK25" i="3"/>
  <c r="AL25" i="3"/>
  <c r="AL21" i="3"/>
  <c r="AK21" i="3"/>
  <c r="AL26" i="3"/>
  <c r="AK26" i="3"/>
  <c r="AL16" i="3"/>
  <c r="AK16" i="3"/>
  <c r="AL19" i="3"/>
  <c r="AK19" i="3"/>
  <c r="AL6" i="3"/>
  <c r="AK6" i="3"/>
  <c r="AL13" i="3"/>
  <c r="AK13" i="3"/>
  <c r="AL11" i="3"/>
  <c r="AK11" i="3"/>
  <c r="AL20" i="3"/>
  <c r="AK20" i="3"/>
  <c r="AL18" i="3"/>
  <c r="AK18" i="3"/>
  <c r="AL27" i="3"/>
  <c r="AK27" i="3"/>
  <c r="AL30" i="3"/>
  <c r="AK30" i="3"/>
  <c r="AK17" i="3"/>
  <c r="AL17" i="3"/>
  <c r="AL12" i="3"/>
  <c r="AK12" i="3"/>
  <c r="Q15" i="3"/>
  <c r="Q22" i="3"/>
  <c r="Q18" i="3"/>
  <c r="Q6" i="3"/>
  <c r="Q25" i="3"/>
  <c r="Q26" i="3"/>
  <c r="Q16" i="3"/>
  <c r="Q29" i="3"/>
  <c r="G6" i="2"/>
  <c r="F5" i="2"/>
  <c r="F11" i="2"/>
  <c r="F10" i="2"/>
  <c r="Q8" i="3"/>
  <c r="Q10" i="3"/>
  <c r="Q30" i="3"/>
  <c r="Q14" i="3"/>
  <c r="Q24" i="3"/>
  <c r="Q23" i="3"/>
  <c r="Q9" i="3"/>
  <c r="Q7" i="3"/>
  <c r="Q27" i="3"/>
  <c r="Q5" i="3"/>
  <c r="Q28" i="3"/>
  <c r="Q19" i="3"/>
  <c r="Q20" i="3"/>
  <c r="Q12" i="3"/>
  <c r="Q11" i="3"/>
  <c r="Q21" i="3"/>
  <c r="Q13" i="3"/>
  <c r="Q17" i="3"/>
  <c r="Q4" i="3"/>
  <c r="J11" i="2"/>
  <c r="I12" i="2"/>
  <c r="I15" i="2"/>
  <c r="H11" i="2"/>
  <c r="H12" i="2"/>
  <c r="H14" i="2"/>
  <c r="H16" i="2"/>
  <c r="H10" i="2"/>
  <c r="I13" i="2"/>
  <c r="I14" i="2"/>
  <c r="I16" i="2"/>
  <c r="H13" i="2"/>
  <c r="H15" i="2"/>
  <c r="I10" i="2"/>
  <c r="I11" i="2"/>
  <c r="K11" i="2"/>
  <c r="F15" i="2"/>
  <c r="F13" i="2"/>
  <c r="F16" i="2"/>
  <c r="F14" i="2"/>
  <c r="H6" i="2"/>
  <c r="H4" i="2"/>
  <c r="D5" i="2"/>
  <c r="C12" i="2" s="1"/>
  <c r="C13" i="2"/>
  <c r="C14" i="2"/>
  <c r="C15" i="2"/>
  <c r="C11" i="2"/>
  <c r="C10" i="2"/>
  <c r="B17" i="1"/>
  <c r="H2" i="2"/>
  <c r="G5" i="2"/>
  <c r="D11" i="1"/>
  <c r="AM21" i="3" l="1"/>
  <c r="AM18" i="3"/>
  <c r="AM11" i="3"/>
  <c r="AM14" i="3"/>
  <c r="AM23" i="3"/>
  <c r="AM22" i="3"/>
  <c r="AM30" i="3"/>
  <c r="AM16" i="3"/>
  <c r="AM28" i="3"/>
  <c r="AM27" i="3"/>
  <c r="AM26" i="3"/>
  <c r="AM10" i="3"/>
  <c r="AM4" i="3"/>
  <c r="AM7" i="3"/>
  <c r="AM25" i="3"/>
  <c r="AM13" i="3"/>
  <c r="AM15" i="3"/>
  <c r="AM29" i="3"/>
  <c r="AM12" i="3"/>
  <c r="AM6" i="3"/>
  <c r="AM24" i="3"/>
  <c r="AM9" i="3"/>
  <c r="AM19" i="3"/>
  <c r="AM20" i="3"/>
  <c r="AM17" i="3"/>
  <c r="AM5" i="3"/>
  <c r="AM8" i="3"/>
  <c r="C16" i="2"/>
  <c r="H5" i="2"/>
  <c r="G12" i="2" s="1"/>
  <c r="J10" i="2"/>
  <c r="G10" i="2" l="1"/>
  <c r="G13" i="2"/>
  <c r="G15" i="2"/>
  <c r="G14" i="2"/>
  <c r="G11" i="2"/>
  <c r="G16" i="2"/>
  <c r="P10" i="3"/>
  <c r="P11" i="3"/>
  <c r="P14" i="3"/>
  <c r="P6" i="3"/>
  <c r="P28" i="3"/>
  <c r="P13" i="3"/>
  <c r="P27" i="3"/>
  <c r="P25" i="3"/>
  <c r="P9" i="3"/>
  <c r="P19" i="3"/>
  <c r="P23" i="3"/>
  <c r="P5" i="3"/>
  <c r="P20" i="3"/>
  <c r="P8" i="3"/>
  <c r="P7" i="3"/>
  <c r="P30" i="3"/>
  <c r="P29" i="3"/>
  <c r="P17" i="3"/>
  <c r="P15" i="3"/>
  <c r="P24" i="3"/>
  <c r="P18" i="3"/>
  <c r="P16" i="3"/>
  <c r="P26" i="3"/>
  <c r="P12" i="3"/>
  <c r="P21" i="3"/>
  <c r="P4" i="3"/>
  <c r="AB23" i="3"/>
  <c r="AB30" i="3"/>
  <c r="AB8" i="3"/>
  <c r="AB12" i="3"/>
  <c r="AB14" i="3"/>
  <c r="AB11" i="3"/>
  <c r="AB13" i="3"/>
  <c r="AB5" i="3"/>
  <c r="AB25" i="3"/>
  <c r="AB4" i="3"/>
  <c r="AB7" i="3"/>
  <c r="AB20" i="3"/>
  <c r="AB19" i="3"/>
  <c r="AB21" i="3"/>
  <c r="AB24" i="3"/>
  <c r="AB27" i="3"/>
  <c r="AB10" i="3"/>
  <c r="AB16" i="3"/>
  <c r="AB17" i="3"/>
  <c r="AB29" i="3"/>
  <c r="AB18" i="3"/>
  <c r="AB28" i="3"/>
  <c r="AB6" i="3"/>
  <c r="AB26" i="3"/>
  <c r="AB15" i="3"/>
  <c r="AB9" i="3"/>
  <c r="R20" i="3" l="1"/>
  <c r="S20" i="3" s="1"/>
  <c r="T20" i="3" s="1"/>
  <c r="R13" i="3"/>
  <c r="S13" i="3" s="1"/>
  <c r="T13" i="3" s="1"/>
  <c r="R18" i="3"/>
  <c r="S18" i="3" s="1"/>
  <c r="T18" i="3" s="1"/>
  <c r="R12" i="3"/>
  <c r="S12" i="3" s="1"/>
  <c r="T12" i="3" s="1"/>
  <c r="R22" i="3"/>
  <c r="S22" i="3" s="1"/>
  <c r="T22" i="3" s="1"/>
  <c r="R5" i="3"/>
  <c r="S5" i="3" s="1"/>
  <c r="T5" i="3" s="1"/>
  <c r="R23" i="3"/>
  <c r="S23" i="3" s="1"/>
  <c r="T23" i="3" s="1"/>
  <c r="R30" i="3"/>
  <c r="S30" i="3" s="1"/>
  <c r="T30" i="3" s="1"/>
  <c r="R8" i="3"/>
  <c r="S8" i="3" s="1"/>
  <c r="T8" i="3" s="1"/>
  <c r="R14" i="3"/>
  <c r="S14" i="3" s="1"/>
  <c r="T14" i="3" s="1"/>
  <c r="R21" i="3"/>
  <c r="S21" i="3" s="1"/>
  <c r="T21" i="3" s="1"/>
  <c r="R19" i="3"/>
  <c r="S19" i="3" s="1"/>
  <c r="T19" i="3" s="1"/>
  <c r="R26" i="3"/>
  <c r="S26" i="3" s="1"/>
  <c r="T26" i="3" s="1"/>
  <c r="R25" i="3"/>
  <c r="S25" i="3" s="1"/>
  <c r="T25" i="3" s="1"/>
  <c r="R17" i="3"/>
  <c r="S17" i="3" s="1"/>
  <c r="T17" i="3" s="1"/>
  <c r="R4" i="3"/>
  <c r="S4" i="3" s="1"/>
  <c r="T4" i="3" s="1"/>
  <c r="R27" i="3"/>
  <c r="S27" i="3" s="1"/>
  <c r="T27" i="3" s="1"/>
  <c r="R29" i="3"/>
  <c r="S29" i="3" s="1"/>
  <c r="T29" i="3" s="1"/>
  <c r="R7" i="3"/>
  <c r="S7" i="3" s="1"/>
  <c r="T7" i="3" s="1"/>
  <c r="R9" i="3"/>
  <c r="S9" i="3" s="1"/>
  <c r="T9" i="3" s="1"/>
  <c r="R10" i="3"/>
  <c r="S10" i="3" s="1"/>
  <c r="T10" i="3" s="1"/>
  <c r="R28" i="3"/>
  <c r="S28" i="3" s="1"/>
  <c r="T28" i="3" s="1"/>
  <c r="R15" i="3"/>
  <c r="S15" i="3" s="1"/>
  <c r="T15" i="3" s="1"/>
  <c r="R11" i="3"/>
  <c r="S11" i="3" s="1"/>
  <c r="T11" i="3" s="1"/>
  <c r="R24" i="3"/>
  <c r="S24" i="3" s="1"/>
  <c r="T24" i="3" s="1"/>
  <c r="R16" i="3"/>
  <c r="S16" i="3" s="1"/>
  <c r="R6" i="3"/>
  <c r="S6" i="3" s="1"/>
  <c r="T6" i="3" s="1"/>
  <c r="P22" i="3"/>
  <c r="B10" i="1"/>
  <c r="AB22" i="3"/>
  <c r="B11" i="1" l="1"/>
  <c r="B32" i="1"/>
  <c r="B33" i="1" s="1"/>
  <c r="M4" i="3"/>
  <c r="O4" i="3"/>
  <c r="K4" i="3"/>
  <c r="K21" i="3"/>
  <c r="O21" i="3"/>
  <c r="M21" i="3"/>
  <c r="T16" i="3"/>
  <c r="K14" i="3"/>
  <c r="M14" i="3"/>
  <c r="O14" i="3"/>
  <c r="M26" i="3"/>
  <c r="K26" i="3"/>
  <c r="O26" i="3"/>
  <c r="K8" i="3"/>
  <c r="O8" i="3"/>
  <c r="M8" i="3"/>
  <c r="M11" i="3"/>
  <c r="O11" i="3"/>
  <c r="K11" i="3"/>
  <c r="M30" i="3"/>
  <c r="O30" i="3"/>
  <c r="K30" i="3"/>
  <c r="M23" i="3"/>
  <c r="K23" i="3"/>
  <c r="O23" i="3"/>
  <c r="M24" i="3"/>
  <c r="O24" i="3"/>
  <c r="K24" i="3"/>
  <c r="O5" i="3"/>
  <c r="K5" i="3"/>
  <c r="M5" i="3"/>
  <c r="O22" i="3"/>
  <c r="K22" i="3"/>
  <c r="M22" i="3"/>
  <c r="O6" i="3"/>
  <c r="K6" i="3"/>
  <c r="M6" i="3"/>
  <c r="K10" i="3"/>
  <c r="M10" i="3"/>
  <c r="O10" i="3"/>
  <c r="O12" i="3"/>
  <c r="K12" i="3"/>
  <c r="M12" i="3"/>
  <c r="K17" i="3"/>
  <c r="M17" i="3"/>
  <c r="O17" i="3"/>
  <c r="M18" i="3"/>
  <c r="O18" i="3"/>
  <c r="K18" i="3"/>
  <c r="O25" i="3"/>
  <c r="M25" i="3"/>
  <c r="K25" i="3"/>
  <c r="O15" i="3"/>
  <c r="M15" i="3"/>
  <c r="K15" i="3"/>
  <c r="O7" i="3"/>
  <c r="M7" i="3"/>
  <c r="K7" i="3"/>
  <c r="K29" i="3"/>
  <c r="O29" i="3"/>
  <c r="M29" i="3"/>
  <c r="M13" i="3"/>
  <c r="K13" i="3"/>
  <c r="O13" i="3"/>
  <c r="M19" i="3"/>
  <c r="K19" i="3"/>
  <c r="O19" i="3"/>
  <c r="M28" i="3"/>
  <c r="O28" i="3"/>
  <c r="K28" i="3"/>
  <c r="O9" i="3"/>
  <c r="K9" i="3"/>
  <c r="M9" i="3"/>
  <c r="K27" i="3"/>
  <c r="M27" i="3"/>
  <c r="O27" i="3"/>
  <c r="K20" i="3"/>
  <c r="O20" i="3"/>
  <c r="M20" i="3"/>
  <c r="B17" i="3"/>
  <c r="B9" i="5"/>
  <c r="C13" i="3" l="1"/>
  <c r="C12" i="3" s="1"/>
  <c r="B19" i="1"/>
  <c r="B20" i="1" s="1"/>
  <c r="K16" i="3"/>
  <c r="M16" i="3"/>
  <c r="O16" i="3"/>
  <c r="C13" i="1"/>
  <c r="C15" i="1"/>
  <c r="D15" i="1" s="1"/>
  <c r="C14" i="1"/>
  <c r="D14" i="1" s="1"/>
  <c r="B23" i="1" l="1"/>
  <c r="B45" i="1" s="1"/>
  <c r="D13" i="1"/>
  <c r="Z16" i="3"/>
  <c r="AR16" i="3" s="1"/>
  <c r="Z20" i="3"/>
  <c r="AR20" i="3" s="1"/>
  <c r="Z19" i="3"/>
  <c r="AR19" i="3" s="1"/>
  <c r="Z24" i="3"/>
  <c r="AR24" i="3" s="1"/>
  <c r="Z25" i="3"/>
  <c r="AR25" i="3" s="1"/>
  <c r="Z18" i="3"/>
  <c r="AR18" i="3" s="1"/>
  <c r="Z13" i="3"/>
  <c r="AR13" i="3" s="1"/>
  <c r="Z10" i="3"/>
  <c r="AR10" i="3" s="1"/>
  <c r="Z9" i="3"/>
  <c r="AR9" i="3" s="1"/>
  <c r="Z27" i="3"/>
  <c r="AR27" i="3" s="1"/>
  <c r="Z11" i="3"/>
  <c r="AR11" i="3" s="1"/>
  <c r="Z28" i="3"/>
  <c r="AR28" i="3" s="1"/>
  <c r="Z4" i="3"/>
  <c r="AR4" i="3" s="1"/>
  <c r="Z21" i="3"/>
  <c r="AR21" i="3" s="1"/>
  <c r="Z12" i="3"/>
  <c r="AR12" i="3" s="1"/>
  <c r="Z26" i="3"/>
  <c r="AR26" i="3" s="1"/>
  <c r="Z7" i="3"/>
  <c r="AR7" i="3" s="1"/>
  <c r="Z29" i="3"/>
  <c r="AR29" i="3" s="1"/>
  <c r="Z8" i="3"/>
  <c r="AR8" i="3" s="1"/>
  <c r="Z30" i="3"/>
  <c r="AR30" i="3" s="1"/>
  <c r="Z6" i="3"/>
  <c r="AR6" i="3" s="1"/>
  <c r="Z15" i="3"/>
  <c r="AR15" i="3" s="1"/>
  <c r="Z14" i="3"/>
  <c r="AR14" i="3" s="1"/>
  <c r="Z17" i="3"/>
  <c r="AR17" i="3" s="1"/>
  <c r="Z5" i="3"/>
  <c r="AR5" i="3" s="1"/>
  <c r="Z23" i="3"/>
  <c r="AR23" i="3" s="1"/>
  <c r="Z22" i="3"/>
  <c r="AR22" i="3" s="1"/>
  <c r="B30" i="1"/>
  <c r="B4" i="1"/>
  <c r="B21" i="1"/>
  <c r="B25" i="1" s="1"/>
  <c r="B24" i="1"/>
  <c r="F15" i="1"/>
  <c r="X26" i="3" l="1"/>
  <c r="AC26" i="3" s="1"/>
  <c r="X11" i="3"/>
  <c r="X13" i="3"/>
  <c r="AC13" i="3" s="1"/>
  <c r="AG15" i="3"/>
  <c r="AG18" i="3"/>
  <c r="X5" i="3"/>
  <c r="AC5" i="3" s="1"/>
  <c r="X6" i="3"/>
  <c r="AG25" i="3"/>
  <c r="AG4" i="3"/>
  <c r="X27" i="3"/>
  <c r="AC27" i="3" s="1"/>
  <c r="X30" i="3"/>
  <c r="AC30" i="3" s="1"/>
  <c r="X21" i="3"/>
  <c r="X9" i="3"/>
  <c r="AC9" i="3" s="1"/>
  <c r="AG19" i="3"/>
  <c r="X28" i="3"/>
  <c r="AC28" i="3" s="1"/>
  <c r="X10" i="3"/>
  <c r="X20" i="3"/>
  <c r="AG24" i="3"/>
  <c r="AG20" i="3"/>
  <c r="X25" i="3"/>
  <c r="X24" i="3"/>
  <c r="X19" i="3"/>
  <c r="X18" i="3"/>
  <c r="AG16" i="3"/>
  <c r="X16" i="3"/>
  <c r="X7" i="3"/>
  <c r="AG7" i="3"/>
  <c r="AG8" i="3"/>
  <c r="X8" i="3"/>
  <c r="AG13" i="3"/>
  <c r="AG11" i="3"/>
  <c r="AG10" i="3"/>
  <c r="AG9" i="3"/>
  <c r="AG26" i="3"/>
  <c r="X12" i="3"/>
  <c r="X4" i="3"/>
  <c r="AG27" i="3"/>
  <c r="AG28" i="3"/>
  <c r="AG12" i="3"/>
  <c r="AG21" i="3"/>
  <c r="AG30" i="3"/>
  <c r="AG6" i="3"/>
  <c r="X17" i="3"/>
  <c r="X15" i="3"/>
  <c r="AG5" i="3"/>
  <c r="AG17" i="3"/>
  <c r="AG14" i="3"/>
  <c r="AG29" i="3"/>
  <c r="X29" i="3"/>
  <c r="X14" i="3"/>
  <c r="X23" i="3"/>
  <c r="AG23" i="3"/>
  <c r="F16" i="1"/>
  <c r="AG22" i="3"/>
  <c r="X22" i="3"/>
  <c r="AC11" i="3"/>
  <c r="B34" i="1"/>
  <c r="AC6" i="3"/>
  <c r="F3" i="4"/>
  <c r="F6" i="4"/>
  <c r="B51" i="1"/>
  <c r="G3" i="4"/>
  <c r="H3" i="4"/>
  <c r="G6" i="4"/>
  <c r="B31" i="1"/>
  <c r="I3" i="4"/>
  <c r="H6" i="4"/>
  <c r="I6" i="4"/>
  <c r="AC25" i="3"/>
  <c r="F19" i="1"/>
  <c r="F14" i="1"/>
  <c r="G17" i="3"/>
  <c r="F20" i="1" l="1"/>
  <c r="F21" i="1"/>
  <c r="F17" i="1"/>
  <c r="AN15" i="3"/>
  <c r="AO15" i="3"/>
  <c r="AN16" i="3"/>
  <c r="AO16" i="3"/>
  <c r="AO22" i="3"/>
  <c r="AN22" i="3"/>
  <c r="AN6" i="3"/>
  <c r="AO6" i="3"/>
  <c r="AO21" i="3"/>
  <c r="AN21" i="3"/>
  <c r="AN7" i="3"/>
  <c r="AO7" i="3"/>
  <c r="AO5" i="3"/>
  <c r="AN5" i="3"/>
  <c r="AN24" i="3"/>
  <c r="AO24" i="3"/>
  <c r="AO30" i="3"/>
  <c r="AN30" i="3"/>
  <c r="AC21" i="3"/>
  <c r="AO4" i="3"/>
  <c r="AN4" i="3"/>
  <c r="AN25" i="3"/>
  <c r="AO25" i="3"/>
  <c r="AO27" i="3"/>
  <c r="AN27" i="3"/>
  <c r="AO23" i="3"/>
  <c r="AN23" i="3"/>
  <c r="AO12" i="3"/>
  <c r="AN12" i="3"/>
  <c r="AO13" i="3"/>
  <c r="AN13" i="3"/>
  <c r="AN10" i="3"/>
  <c r="AO10" i="3"/>
  <c r="AO8" i="3"/>
  <c r="AN8" i="3"/>
  <c r="AO19" i="3"/>
  <c r="AN19" i="3"/>
  <c r="AO14" i="3"/>
  <c r="AN14" i="3"/>
  <c r="AO11" i="3"/>
  <c r="AN11" i="3"/>
  <c r="AO28" i="3"/>
  <c r="AN28" i="3"/>
  <c r="AN9" i="3"/>
  <c r="AO9" i="3"/>
  <c r="AO17" i="3"/>
  <c r="AN17" i="3"/>
  <c r="AN18" i="3"/>
  <c r="AO18" i="3"/>
  <c r="AO29" i="3"/>
  <c r="AN29" i="3"/>
  <c r="AO20" i="3"/>
  <c r="AN20" i="3"/>
  <c r="AO26" i="3"/>
  <c r="AN26" i="3"/>
  <c r="AC24" i="3"/>
  <c r="AD24" i="3" s="1"/>
  <c r="AE24" i="3" s="1"/>
  <c r="AC17" i="3"/>
  <c r="AD17" i="3" s="1"/>
  <c r="AE17" i="3" s="1"/>
  <c r="AC16" i="3"/>
  <c r="AD16" i="3" s="1"/>
  <c r="AE16" i="3" s="1"/>
  <c r="AC14" i="3"/>
  <c r="AD14" i="3" s="1"/>
  <c r="AE14" i="3" s="1"/>
  <c r="AC10" i="3"/>
  <c r="AD10" i="3" s="1"/>
  <c r="AE10" i="3" s="1"/>
  <c r="AC19" i="3"/>
  <c r="AD19" i="3" s="1"/>
  <c r="AE19" i="3" s="1"/>
  <c r="AC20" i="3"/>
  <c r="AD20" i="3" s="1"/>
  <c r="AE20" i="3" s="1"/>
  <c r="AC18" i="3"/>
  <c r="AD18" i="3" s="1"/>
  <c r="AE18" i="3" s="1"/>
  <c r="AC7" i="3"/>
  <c r="AD7" i="3" s="1"/>
  <c r="AE7" i="3" s="1"/>
  <c r="AC8" i="3"/>
  <c r="AD8" i="3" s="1"/>
  <c r="AE8" i="3" s="1"/>
  <c r="AC4" i="3"/>
  <c r="AC12" i="3"/>
  <c r="AD12" i="3" s="1"/>
  <c r="AE12" i="3" s="1"/>
  <c r="AC15" i="3"/>
  <c r="AD15" i="3" s="1"/>
  <c r="AE15" i="3" s="1"/>
  <c r="AC23" i="3"/>
  <c r="AD23" i="3" s="1"/>
  <c r="AE23" i="3" s="1"/>
  <c r="AC29" i="3"/>
  <c r="AD29" i="3" s="1"/>
  <c r="AE29" i="3" s="1"/>
  <c r="AD21" i="3"/>
  <c r="AE21" i="3" s="1"/>
  <c r="AD30" i="3"/>
  <c r="AE30" i="3" s="1"/>
  <c r="AD6" i="3"/>
  <c r="AE6" i="3" s="1"/>
  <c r="AD11" i="3"/>
  <c r="AE11" i="3" s="1"/>
  <c r="AD13" i="3"/>
  <c r="AE13" i="3" s="1"/>
  <c r="AD28" i="3"/>
  <c r="AE28" i="3" s="1"/>
  <c r="AD9" i="3"/>
  <c r="AE9" i="3" s="1"/>
  <c r="AD25" i="3"/>
  <c r="AE25" i="3" s="1"/>
  <c r="AD26" i="3"/>
  <c r="AE26" i="3" s="1"/>
  <c r="AD5" i="3"/>
  <c r="AE5" i="3" s="1"/>
  <c r="AD27" i="3"/>
  <c r="AE27" i="3" s="1"/>
  <c r="H11" i="1"/>
  <c r="H17" i="3"/>
  <c r="C9" i="5"/>
  <c r="C8" i="5" s="1"/>
  <c r="C6" i="5" s="1"/>
  <c r="C3" i="5" s="1"/>
  <c r="AC22" i="3"/>
  <c r="B41" i="1"/>
  <c r="F2" i="4"/>
  <c r="I2" i="4"/>
  <c r="H2" i="4"/>
  <c r="G2" i="4"/>
  <c r="G5" i="4"/>
  <c r="F5" i="4"/>
  <c r="I5" i="4"/>
  <c r="H5" i="4"/>
  <c r="B53" i="1"/>
  <c r="B35" i="1"/>
  <c r="AP11" i="3" l="1"/>
  <c r="AP30" i="3"/>
  <c r="AP27" i="3"/>
  <c r="AP19" i="3"/>
  <c r="AP4" i="3"/>
  <c r="AP22" i="3"/>
  <c r="AP12" i="3"/>
  <c r="AP28" i="3"/>
  <c r="AP23" i="3"/>
  <c r="AP20" i="3"/>
  <c r="AP18" i="3"/>
  <c r="AP10" i="3"/>
  <c r="AP26" i="3"/>
  <c r="AP14" i="3"/>
  <c r="AP17" i="3"/>
  <c r="AP13" i="3"/>
  <c r="AP5" i="3"/>
  <c r="AP7" i="3"/>
  <c r="AP21" i="3"/>
  <c r="AP16" i="3"/>
  <c r="AI16" i="3"/>
  <c r="AS16" i="3" s="1"/>
  <c r="AU16" i="3"/>
  <c r="AU7" i="3"/>
  <c r="AI7" i="3"/>
  <c r="AS7" i="3" s="1"/>
  <c r="AI19" i="3"/>
  <c r="AS19" i="3" s="1"/>
  <c r="AU19" i="3"/>
  <c r="AU28" i="3"/>
  <c r="AI28" i="3"/>
  <c r="AS28" i="3" s="1"/>
  <c r="AP9" i="3"/>
  <c r="AI10" i="3"/>
  <c r="AS10" i="3" s="1"/>
  <c r="AU10" i="3"/>
  <c r="AI18" i="3"/>
  <c r="AS18" i="3" s="1"/>
  <c r="AU18" i="3"/>
  <c r="AI13" i="3"/>
  <c r="AS13" i="3" s="1"/>
  <c r="AU13" i="3"/>
  <c r="AI24" i="3"/>
  <c r="AS24" i="3" s="1"/>
  <c r="AU24" i="3"/>
  <c r="AU14" i="3"/>
  <c r="AI14" i="3"/>
  <c r="AS14" i="3" s="1"/>
  <c r="AP6" i="3"/>
  <c r="AI17" i="3"/>
  <c r="AS17" i="3" s="1"/>
  <c r="AU17" i="3"/>
  <c r="AU29" i="3"/>
  <c r="AI29" i="3"/>
  <c r="AS29" i="3" s="1"/>
  <c r="AP25" i="3"/>
  <c r="AU23" i="3"/>
  <c r="AI23" i="3"/>
  <c r="AS23" i="3" s="1"/>
  <c r="AI25" i="3"/>
  <c r="AS25" i="3" s="1"/>
  <c r="AU25" i="3"/>
  <c r="AU6" i="3"/>
  <c r="AI6" i="3"/>
  <c r="AS6" i="3" s="1"/>
  <c r="AI27" i="3"/>
  <c r="AS27" i="3" s="1"/>
  <c r="AU27" i="3"/>
  <c r="AU15" i="3"/>
  <c r="AI15" i="3"/>
  <c r="AS15" i="3" s="1"/>
  <c r="AP24" i="3"/>
  <c r="AU30" i="3"/>
  <c r="AI30" i="3"/>
  <c r="AS30" i="3" s="1"/>
  <c r="AI5" i="3"/>
  <c r="AS5" i="3" s="1"/>
  <c r="AU5" i="3"/>
  <c r="AI12" i="3"/>
  <c r="AS12" i="3" s="1"/>
  <c r="AU12" i="3"/>
  <c r="AP29" i="3"/>
  <c r="AP8" i="3"/>
  <c r="AI9" i="3"/>
  <c r="AS9" i="3" s="1"/>
  <c r="AU9" i="3"/>
  <c r="AI26" i="3"/>
  <c r="AS26" i="3" s="1"/>
  <c r="AU26" i="3"/>
  <c r="AI20" i="3"/>
  <c r="AS20" i="3" s="1"/>
  <c r="AU20" i="3"/>
  <c r="AI11" i="3"/>
  <c r="AS11" i="3" s="1"/>
  <c r="AU11" i="3"/>
  <c r="AU21" i="3"/>
  <c r="AI21" i="3"/>
  <c r="AS21" i="3" s="1"/>
  <c r="AI8" i="3"/>
  <c r="AS8" i="3" s="1"/>
  <c r="AU8" i="3"/>
  <c r="AP15" i="3"/>
  <c r="AF23" i="3"/>
  <c r="Y23" i="3" s="1"/>
  <c r="AF6" i="3"/>
  <c r="W6" i="3" s="1"/>
  <c r="AF18" i="3"/>
  <c r="AA18" i="3" s="1"/>
  <c r="AJ18" i="3" s="1"/>
  <c r="AT18" i="3" s="1"/>
  <c r="AF15" i="3"/>
  <c r="Y15" i="3" s="1"/>
  <c r="AF12" i="3"/>
  <c r="Y12" i="3" s="1"/>
  <c r="AF13" i="3"/>
  <c r="Y13" i="3" s="1"/>
  <c r="AF20" i="3"/>
  <c r="W20" i="3" s="1"/>
  <c r="AF21" i="3"/>
  <c r="AF11" i="3"/>
  <c r="AF14" i="3"/>
  <c r="W14" i="3" s="1"/>
  <c r="AF26" i="3"/>
  <c r="W26" i="3" s="1"/>
  <c r="AF16" i="3"/>
  <c r="AF27" i="3"/>
  <c r="AF10" i="3"/>
  <c r="AF5" i="3"/>
  <c r="AA5" i="3" s="1"/>
  <c r="AJ5" i="3" s="1"/>
  <c r="AF17" i="3"/>
  <c r="W17" i="3" s="1"/>
  <c r="AF30" i="3"/>
  <c r="W30" i="3" s="1"/>
  <c r="AF7" i="3"/>
  <c r="W7" i="3" s="1"/>
  <c r="AF19" i="3"/>
  <c r="AA19" i="3" s="1"/>
  <c r="AJ19" i="3" s="1"/>
  <c r="AT19" i="3" s="1"/>
  <c r="AF24" i="3"/>
  <c r="Y24" i="3" s="1"/>
  <c r="AF25" i="3"/>
  <c r="Y25" i="3" s="1"/>
  <c r="AF29" i="3"/>
  <c r="W29" i="3" s="1"/>
  <c r="AF8" i="3"/>
  <c r="AF9" i="3"/>
  <c r="Y9" i="3" s="1"/>
  <c r="AF28" i="3"/>
  <c r="Y28" i="3" s="1"/>
  <c r="AD22" i="3"/>
  <c r="AE22" i="3" s="1"/>
  <c r="AD4" i="3"/>
  <c r="AE4" i="3" s="1"/>
  <c r="B42" i="1"/>
  <c r="B47" i="1" s="1"/>
  <c r="B54" i="1"/>
  <c r="B55" i="1" s="1"/>
  <c r="F10" i="1"/>
  <c r="F11" i="1" l="1"/>
  <c r="G15" i="1" s="1"/>
  <c r="H15" i="1" s="1"/>
  <c r="F32" i="1"/>
  <c r="F33" i="1" s="1"/>
  <c r="AT5" i="3"/>
  <c r="AU22" i="3"/>
  <c r="AI22" i="3"/>
  <c r="AS22" i="3" s="1"/>
  <c r="AU4" i="3"/>
  <c r="AI4" i="3"/>
  <c r="AS4" i="3" s="1"/>
  <c r="AA23" i="3"/>
  <c r="AJ23" i="3" s="1"/>
  <c r="AT23" i="3" s="1"/>
  <c r="W23" i="3"/>
  <c r="Y30" i="3"/>
  <c r="AA30" i="3"/>
  <c r="AJ30" i="3" s="1"/>
  <c r="AT30" i="3" s="1"/>
  <c r="Y7" i="3"/>
  <c r="AA7" i="3"/>
  <c r="AJ7" i="3" s="1"/>
  <c r="AT7" i="3" s="1"/>
  <c r="Y19" i="3"/>
  <c r="Y20" i="3"/>
  <c r="AA20" i="3"/>
  <c r="AJ20" i="3" s="1"/>
  <c r="AT20" i="3" s="1"/>
  <c r="Y6" i="3"/>
  <c r="AA6" i="3"/>
  <c r="AJ6" i="3" s="1"/>
  <c r="AT6" i="3" s="1"/>
  <c r="W28" i="3"/>
  <c r="AA25" i="3"/>
  <c r="AJ25" i="3" s="1"/>
  <c r="AT25" i="3" s="1"/>
  <c r="W25" i="3"/>
  <c r="AA15" i="3"/>
  <c r="AJ15" i="3" s="1"/>
  <c r="AT15" i="3" s="1"/>
  <c r="AA28" i="3"/>
  <c r="AJ28" i="3" s="1"/>
  <c r="AT28" i="3" s="1"/>
  <c r="W15" i="3"/>
  <c r="Y11" i="3"/>
  <c r="W24" i="3"/>
  <c r="AA11" i="3"/>
  <c r="AJ11" i="3" s="1"/>
  <c r="AT11" i="3" s="1"/>
  <c r="W11" i="3"/>
  <c r="Y18" i="3"/>
  <c r="Y16" i="3"/>
  <c r="Y14" i="3"/>
  <c r="W13" i="3"/>
  <c r="W18" i="3"/>
  <c r="AA13" i="3"/>
  <c r="AJ13" i="3" s="1"/>
  <c r="AT13" i="3" s="1"/>
  <c r="AA14" i="3"/>
  <c r="AJ14" i="3" s="1"/>
  <c r="AT14" i="3" s="1"/>
  <c r="W16" i="3"/>
  <c r="AA27" i="3"/>
  <c r="AJ27" i="3" s="1"/>
  <c r="AT27" i="3" s="1"/>
  <c r="Y27" i="3"/>
  <c r="Y26" i="3"/>
  <c r="AA12" i="3"/>
  <c r="AJ12" i="3" s="1"/>
  <c r="AT12" i="3" s="1"/>
  <c r="W19" i="3"/>
  <c r="AA26" i="3"/>
  <c r="AJ26" i="3" s="1"/>
  <c r="AT26" i="3" s="1"/>
  <c r="W12" i="3"/>
  <c r="Y8" i="3"/>
  <c r="AA8" i="3"/>
  <c r="AJ8" i="3" s="1"/>
  <c r="AT8" i="3" s="1"/>
  <c r="W9" i="3"/>
  <c r="Y10" i="3"/>
  <c r="AA10" i="3"/>
  <c r="AJ10" i="3" s="1"/>
  <c r="AT10" i="3" s="1"/>
  <c r="W10" i="3"/>
  <c r="AA9" i="3"/>
  <c r="AJ9" i="3" s="1"/>
  <c r="AT9" i="3" s="1"/>
  <c r="AA24" i="3"/>
  <c r="AJ24" i="3" s="1"/>
  <c r="AT24" i="3" s="1"/>
  <c r="W8" i="3"/>
  <c r="W5" i="3"/>
  <c r="Y21" i="3"/>
  <c r="AF22" i="3"/>
  <c r="W22" i="3" s="1"/>
  <c r="AA16" i="3"/>
  <c r="AJ16" i="3" s="1"/>
  <c r="AT16" i="3" s="1"/>
  <c r="AA21" i="3"/>
  <c r="AJ21" i="3" s="1"/>
  <c r="AT21" i="3" s="1"/>
  <c r="W27" i="3"/>
  <c r="Y5" i="3"/>
  <c r="Y17" i="3"/>
  <c r="AA17" i="3"/>
  <c r="AJ17" i="3" s="1"/>
  <c r="AT17" i="3" s="1"/>
  <c r="Y29" i="3"/>
  <c r="W21" i="3"/>
  <c r="AA29" i="3"/>
  <c r="AJ29" i="3" s="1"/>
  <c r="AT29" i="3" s="1"/>
  <c r="AF4" i="3"/>
  <c r="AA4" i="3" s="1"/>
  <c r="AJ4" i="3" s="1"/>
  <c r="AT4" i="3" s="1"/>
  <c r="F24" i="1" l="1"/>
  <c r="G13" i="1"/>
  <c r="H13" i="1" s="1"/>
  <c r="G14" i="1"/>
  <c r="H14" i="1" s="1"/>
  <c r="Y22" i="3"/>
  <c r="AA22" i="3"/>
  <c r="AJ22" i="3" s="1"/>
  <c r="AT22" i="3" s="1"/>
  <c r="W4" i="3"/>
  <c r="Y4" i="3"/>
  <c r="F23" i="1" l="1"/>
  <c r="F45" i="1" s="1"/>
  <c r="F4" i="1"/>
  <c r="F30" i="1"/>
  <c r="F25" i="1"/>
  <c r="F34" i="1" l="1"/>
  <c r="F31" i="1"/>
  <c r="F41" i="1"/>
  <c r="F53" i="1"/>
  <c r="F35" i="1"/>
  <c r="F51" i="1" l="1"/>
  <c r="F42" i="1"/>
  <c r="F47" i="1" s="1"/>
  <c r="F54" i="1"/>
  <c r="F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B1" authorId="0" shapeId="0" xr:uid="{49B371F6-1246-4440-AC51-48BC7A0662B0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POMEMBNO:
Preračuni veljajo samo za:
-površinsko utrjene zobnike (cementirano, kaljeno, nirtirano)
-srednje toga gonila 
-do modula 5 (če je več je treba spremenit v Korak_2 vrednost Y_X (celica I33))
-samo za ravna ozobja (za poševna je potrebno spremenit v 2. Korak vrednost Z_H)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D27" authorId="0" shapeId="0" xr:uid="{2862987D-F7CE-4F73-BEA5-B7C59201D03F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H27" authorId="0" shapeId="0" xr:uid="{DC935671-D5FD-4659-BA58-33E83D7535EA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D33" authorId="0" shapeId="0" xr:uid="{4851314B-B277-4DE7-B48E-DC74A45FE6BC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H33" authorId="0" shapeId="0" xr:uid="{300BF6EE-08BE-498A-A3D1-B7A3C5F4DC4D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B43" authorId="0" shapeId="0" xr:uid="{CBEC7DCB-EF7E-4C80-8990-0AC2D77586C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F43" authorId="0" shapeId="0" xr:uid="{001F68B3-FBA3-4248-B3ED-79F4824FD21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D49" authorId="0" shapeId="0" xr:uid="{FD45077B-54ED-4888-A948-9F2DEFCB0FB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  <comment ref="H49" authorId="0" shapeId="0" xr:uid="{4943F6E6-FB11-40F6-BE5F-7BAA9FDF744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</commentList>
</comments>
</file>

<file path=xl/sharedStrings.xml><?xml version="1.0" encoding="utf-8"?>
<sst xmlns="http://schemas.openxmlformats.org/spreadsheetml/2006/main" count="348" uniqueCount="167">
  <si>
    <t>Podatki</t>
  </si>
  <si>
    <t>F_b</t>
  </si>
  <si>
    <t>v</t>
  </si>
  <si>
    <t>N</t>
  </si>
  <si>
    <t>P</t>
  </si>
  <si>
    <t>W</t>
  </si>
  <si>
    <t>D</t>
  </si>
  <si>
    <t>mm</t>
  </si>
  <si>
    <t>Žeje</t>
  </si>
  <si>
    <t>Izvedba</t>
  </si>
  <si>
    <t>Hz</t>
  </si>
  <si>
    <t xml:space="preserve">Grupa </t>
  </si>
  <si>
    <t>frek_bobna</t>
  </si>
  <si>
    <t>prestavno razmerje</t>
  </si>
  <si>
    <t>mm/s</t>
  </si>
  <si>
    <t>Druga stopnja</t>
  </si>
  <si>
    <t>1AI</t>
  </si>
  <si>
    <t>i13</t>
  </si>
  <si>
    <t>i1s</t>
  </si>
  <si>
    <t>sestavljivost</t>
  </si>
  <si>
    <t>sončnik</t>
  </si>
  <si>
    <t>planet</t>
  </si>
  <si>
    <t>modlu</t>
  </si>
  <si>
    <t>z</t>
  </si>
  <si>
    <t>d</t>
  </si>
  <si>
    <t>da</t>
  </si>
  <si>
    <t>Število planetov</t>
  </si>
  <si>
    <t>kolezija planetov</t>
  </si>
  <si>
    <t>z1+z3</t>
  </si>
  <si>
    <t>oborč</t>
  </si>
  <si>
    <t>Momenti</t>
  </si>
  <si>
    <t>Nm</t>
  </si>
  <si>
    <t>Mt1</t>
  </si>
  <si>
    <t>Mt3</t>
  </si>
  <si>
    <t>MtS</t>
  </si>
  <si>
    <t>Sile</t>
  </si>
  <si>
    <t>Ft1</t>
  </si>
  <si>
    <t>Ft3</t>
  </si>
  <si>
    <t>Fs</t>
  </si>
  <si>
    <t>prva</t>
  </si>
  <si>
    <t>stopnja</t>
  </si>
  <si>
    <t>druga</t>
  </si>
  <si>
    <t>np</t>
  </si>
  <si>
    <t>psi</t>
  </si>
  <si>
    <t>b</t>
  </si>
  <si>
    <t>beta</t>
  </si>
  <si>
    <r>
      <t>σ</t>
    </r>
    <r>
      <rPr>
        <sz val="10"/>
        <color rgb="FF222222"/>
        <rFont val="Arial"/>
        <family val="2"/>
        <charset val="238"/>
      </rPr>
      <t>Flim</t>
    </r>
  </si>
  <si>
    <r>
      <t>σ</t>
    </r>
    <r>
      <rPr>
        <sz val="10"/>
        <color rgb="FF222222"/>
        <rFont val="Arial"/>
        <family val="2"/>
        <charset val="238"/>
      </rPr>
      <t>Hlim</t>
    </r>
  </si>
  <si>
    <t>u</t>
  </si>
  <si>
    <t>Ky</t>
  </si>
  <si>
    <t>42CrMo4</t>
  </si>
  <si>
    <t>material</t>
  </si>
  <si>
    <t>m_n</t>
  </si>
  <si>
    <t>MPa</t>
  </si>
  <si>
    <t>°</t>
  </si>
  <si>
    <t>m_t</t>
  </si>
  <si>
    <t xml:space="preserve">planet  </t>
  </si>
  <si>
    <t xml:space="preserve">z </t>
  </si>
  <si>
    <t xml:space="preserve">d </t>
  </si>
  <si>
    <t xml:space="preserve">obroč </t>
  </si>
  <si>
    <t>min_n</t>
  </si>
  <si>
    <t>Mt 1[Nm]</t>
  </si>
  <si>
    <t>Db</t>
  </si>
  <si>
    <t>zb+2</t>
  </si>
  <si>
    <t>za+zb*sinpi/n</t>
  </si>
  <si>
    <t>min debel stene</t>
  </si>
  <si>
    <t>prestava</t>
  </si>
  <si>
    <t>prestava (i1s)</t>
  </si>
  <si>
    <t>kolezija 1</t>
  </si>
  <si>
    <t>kolezija 2</t>
  </si>
  <si>
    <t>sesta 1</t>
  </si>
  <si>
    <t>sesta 2</t>
  </si>
  <si>
    <t>obroc 1</t>
  </si>
  <si>
    <t>obroc 2</t>
  </si>
  <si>
    <t>linija</t>
  </si>
  <si>
    <t>cel1</t>
  </si>
  <si>
    <t>cel2</t>
  </si>
  <si>
    <t>Prva stopnja</t>
  </si>
  <si>
    <t>np (št. planetov)</t>
  </si>
  <si>
    <t>Frekvenca motorja</t>
  </si>
  <si>
    <t>Preverjanje prestave</t>
  </si>
  <si>
    <t>odstopanje (%)</t>
  </si>
  <si>
    <r>
      <rPr>
        <b/>
        <sz val="11"/>
        <color theme="1"/>
        <rFont val="Calibri"/>
        <family val="2"/>
        <charset val="238"/>
        <scheme val="minor"/>
      </rPr>
      <t>Z</t>
    </r>
    <r>
      <rPr>
        <sz val="11"/>
        <color theme="1"/>
        <rFont val="Calibri"/>
        <family val="2"/>
        <charset val="238"/>
        <scheme val="minor"/>
      </rPr>
      <t xml:space="preserve"> sončnika </t>
    </r>
  </si>
  <si>
    <t>1. stopnja</t>
  </si>
  <si>
    <t>2. stopnja</t>
  </si>
  <si>
    <t xml:space="preserve">M </t>
  </si>
  <si>
    <t>beta_kt</t>
  </si>
  <si>
    <t>tau_t_max</t>
  </si>
  <si>
    <t>ni_k</t>
  </si>
  <si>
    <t>alfa_kt</t>
  </si>
  <si>
    <t>primerjalna</t>
  </si>
  <si>
    <t>alpha 0</t>
  </si>
  <si>
    <t>sigma Df</t>
  </si>
  <si>
    <t>tau Df</t>
  </si>
  <si>
    <t>sd</t>
  </si>
  <si>
    <t>sigma dop</t>
  </si>
  <si>
    <t>b1</t>
  </si>
  <si>
    <t>b2</t>
  </si>
  <si>
    <t>σ_F</t>
  </si>
  <si>
    <t>Y_Fa</t>
  </si>
  <si>
    <t>Y_Sa</t>
  </si>
  <si>
    <r>
      <t>Y_</t>
    </r>
    <r>
      <rPr>
        <sz val="11"/>
        <color theme="1"/>
        <rFont val="Calibri"/>
        <family val="2"/>
        <charset val="238"/>
      </rPr>
      <t>ε</t>
    </r>
  </si>
  <si>
    <r>
      <t>Y_</t>
    </r>
    <r>
      <rPr>
        <sz val="11"/>
        <color theme="1"/>
        <rFont val="Calibri"/>
        <family val="2"/>
        <charset val="238"/>
      </rPr>
      <t>β</t>
    </r>
  </si>
  <si>
    <r>
      <t>K_F</t>
    </r>
    <r>
      <rPr>
        <sz val="11"/>
        <color theme="1"/>
        <rFont val="Calibri"/>
        <family val="2"/>
        <charset val="238"/>
      </rPr>
      <t>α</t>
    </r>
  </si>
  <si>
    <r>
      <t>K_F</t>
    </r>
    <r>
      <rPr>
        <sz val="11"/>
        <color theme="1"/>
        <rFont val="Calibri"/>
        <family val="2"/>
        <charset val="238"/>
      </rPr>
      <t>β</t>
    </r>
  </si>
  <si>
    <t>K_A</t>
  </si>
  <si>
    <t>K_V</t>
  </si>
  <si>
    <r>
      <t>K_</t>
    </r>
    <r>
      <rPr>
        <sz val="11"/>
        <color theme="1"/>
        <rFont val="Calibri"/>
        <family val="2"/>
        <charset val="238"/>
      </rPr>
      <t>γ</t>
    </r>
  </si>
  <si>
    <t>Y_ST</t>
  </si>
  <si>
    <t>Y_NT</t>
  </si>
  <si>
    <r>
      <t>Y_</t>
    </r>
    <r>
      <rPr>
        <sz val="11"/>
        <color theme="1"/>
        <rFont val="Calibri"/>
        <family val="2"/>
        <charset val="238"/>
      </rPr>
      <t>δrelT</t>
    </r>
  </si>
  <si>
    <t>Y_X</t>
  </si>
  <si>
    <t>σ_FP</t>
  </si>
  <si>
    <t>Upogibna napetost v korenu</t>
  </si>
  <si>
    <t>Hertzov tlak</t>
  </si>
  <si>
    <t>Z_H</t>
  </si>
  <si>
    <t>Z_E</t>
  </si>
  <si>
    <r>
      <t>Z_</t>
    </r>
    <r>
      <rPr>
        <sz val="11"/>
        <color theme="1"/>
        <rFont val="Calibri"/>
        <family val="2"/>
        <charset val="238"/>
      </rPr>
      <t>ε</t>
    </r>
  </si>
  <si>
    <r>
      <t>Z_</t>
    </r>
    <r>
      <rPr>
        <sz val="11"/>
        <color theme="1"/>
        <rFont val="Calibri"/>
        <family val="2"/>
        <charset val="238"/>
      </rPr>
      <t>β</t>
    </r>
  </si>
  <si>
    <r>
      <t>K_H</t>
    </r>
    <r>
      <rPr>
        <sz val="11"/>
        <color theme="1"/>
        <rFont val="Calibri"/>
        <family val="2"/>
        <charset val="238"/>
      </rPr>
      <t>α</t>
    </r>
  </si>
  <si>
    <r>
      <t>K_H</t>
    </r>
    <r>
      <rPr>
        <sz val="11"/>
        <color theme="1"/>
        <rFont val="Calibri"/>
        <family val="2"/>
        <charset val="238"/>
      </rPr>
      <t>β</t>
    </r>
  </si>
  <si>
    <t>σ_H</t>
  </si>
  <si>
    <t>σ_HP</t>
  </si>
  <si>
    <t>Z_NT</t>
  </si>
  <si>
    <t>Z_W</t>
  </si>
  <si>
    <t>Z_X</t>
  </si>
  <si>
    <r>
      <t>ε_</t>
    </r>
    <r>
      <rPr>
        <sz val="11"/>
        <color theme="1"/>
        <rFont val="Calibri"/>
        <family val="2"/>
        <charset val="238"/>
      </rPr>
      <t>α</t>
    </r>
  </si>
  <si>
    <r>
      <t>ε_</t>
    </r>
    <r>
      <rPr>
        <sz val="11"/>
        <color theme="1"/>
        <rFont val="Calibri"/>
        <family val="2"/>
        <charset val="238"/>
      </rPr>
      <t>β</t>
    </r>
  </si>
  <si>
    <t>Tolerančni razred</t>
  </si>
  <si>
    <t>Ft/b</t>
  </si>
  <si>
    <t>N/mm</t>
  </si>
  <si>
    <t>ravno</t>
  </si>
  <si>
    <t>poševno</t>
  </si>
  <si>
    <t>&lt;100N/mm</t>
  </si>
  <si>
    <r>
      <t>F_</t>
    </r>
    <r>
      <rPr>
        <sz val="11"/>
        <color theme="1"/>
        <rFont val="Calibri"/>
        <family val="2"/>
        <charset val="238"/>
      </rPr>
      <t>βx</t>
    </r>
  </si>
  <si>
    <t>f_shg</t>
  </si>
  <si>
    <t>f_Hβ</t>
  </si>
  <si>
    <t>do 20</t>
  </si>
  <si>
    <t>20-40</t>
  </si>
  <si>
    <t>40-100</t>
  </si>
  <si>
    <t>100-200</t>
  </si>
  <si>
    <t>200-315</t>
  </si>
  <si>
    <t>315-560</t>
  </si>
  <si>
    <t>sredne toga</t>
  </si>
  <si>
    <t>μm</t>
  </si>
  <si>
    <r>
      <t>f_H</t>
    </r>
    <r>
      <rPr>
        <sz val="11"/>
        <color theme="1"/>
        <rFont val="Calibri"/>
        <family val="2"/>
        <charset val="238"/>
      </rPr>
      <t>β</t>
    </r>
  </si>
  <si>
    <t>nad 100</t>
  </si>
  <si>
    <r>
      <t>F_</t>
    </r>
    <r>
      <rPr>
        <sz val="11"/>
        <color theme="1"/>
        <rFont val="Calibri"/>
        <family val="2"/>
        <charset val="238"/>
      </rPr>
      <t>βy</t>
    </r>
  </si>
  <si>
    <r>
      <t>y_</t>
    </r>
    <r>
      <rPr>
        <sz val="11"/>
        <color theme="1"/>
        <rFont val="Calibri"/>
        <family val="2"/>
        <charset val="238"/>
      </rPr>
      <t>β</t>
    </r>
  </si>
  <si>
    <t>K_1</t>
  </si>
  <si>
    <t>K1</t>
  </si>
  <si>
    <t>pobolšanje</t>
  </si>
  <si>
    <t>st ciklov</t>
  </si>
  <si>
    <t>YRrelT</t>
  </si>
  <si>
    <t>Rz</t>
  </si>
  <si>
    <t>S_Fmin</t>
  </si>
  <si>
    <t>S_Hmin</t>
  </si>
  <si>
    <t>bcal/b</t>
  </si>
  <si>
    <t>Z_L ×Z_V×Z_R</t>
  </si>
  <si>
    <t>a</t>
  </si>
  <si>
    <t>Grupa</t>
  </si>
  <si>
    <t>Fb</t>
  </si>
  <si>
    <t>Frekvenca bobna</t>
  </si>
  <si>
    <t>minstena</t>
  </si>
  <si>
    <t>ψ</t>
  </si>
  <si>
    <t>β</t>
  </si>
  <si>
    <t>Moč motorja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</si>
</sst>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6" x14ac:knownFonts="1">
    <font>
      <sz val="11"/>
      <color theme="1"/>
      <name val="Calibri"/>
      <family val="2"/>
      <charset val="238"/>
      <scheme val="minor"/>
    </font>
    <font>
      <sz val="11"/>
      <color rgb="FF202122"/>
      <name val="Arial"/>
      <family val="2"/>
      <charset val="238"/>
    </font>
    <font>
      <sz val="11"/>
      <name val="Calibri"/>
      <family val="2"/>
      <charset val="238"/>
      <scheme val="minor"/>
    </font>
    <font>
      <sz val="12"/>
      <color rgb="FF222222"/>
      <name val="Arial"/>
      <family val="2"/>
      <charset val="238"/>
    </font>
    <font>
      <sz val="10"/>
      <color rgb="FF222222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0" tint="-4.9989318521683403E-2"/>
      <name val="Calibri"/>
      <family val="2"/>
      <charset val="238"/>
      <scheme val="minor"/>
    </font>
    <font>
      <sz val="14"/>
      <color theme="0" tint="-4.9989318521683403E-2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6"/>
      <color rgb="FF000000"/>
      <name val="Calibri"/>
      <family val="2"/>
      <charset val="238"/>
    </font>
  </fonts>
  <fills count="3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3" borderId="5" xfId="0" applyFill="1" applyBorder="1"/>
    <xf numFmtId="164" fontId="0" fillId="0" borderId="0" xfId="0" applyNumberFormat="1"/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5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8" borderId="5" xfId="0" applyFill="1" applyBorder="1"/>
    <xf numFmtId="0" fontId="0" fillId="7" borderId="6" xfId="0" applyFill="1" applyBorder="1"/>
    <xf numFmtId="0" fontId="0" fillId="6" borderId="5" xfId="0" applyFill="1" applyBorder="1"/>
    <xf numFmtId="0" fontId="0" fillId="8" borderId="6" xfId="0" applyFill="1" applyBorder="1"/>
    <xf numFmtId="0" fontId="0" fillId="6" borderId="6" xfId="0" applyFill="1" applyBorder="1"/>
    <xf numFmtId="0" fontId="0" fillId="6" borderId="9" xfId="0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9" borderId="8" xfId="0" applyFill="1" applyBorder="1"/>
    <xf numFmtId="0" fontId="0" fillId="6" borderId="7" xfId="0" applyFill="1" applyBorder="1"/>
    <xf numFmtId="0" fontId="0" fillId="10" borderId="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6" borderId="16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2" borderId="16" xfId="0" applyFill="1" applyBorder="1"/>
    <xf numFmtId="0" fontId="0" fillId="12" borderId="20" xfId="0" applyFill="1" applyBorder="1"/>
    <xf numFmtId="0" fontId="0" fillId="13" borderId="5" xfId="0" applyFill="1" applyBorder="1"/>
    <xf numFmtId="0" fontId="1" fillId="13" borderId="5" xfId="0" applyFont="1" applyFill="1" applyBorder="1"/>
    <xf numFmtId="0" fontId="0" fillId="13" borderId="1" xfId="0" applyFill="1" applyBorder="1"/>
    <xf numFmtId="0" fontId="0" fillId="13" borderId="7" xfId="0" applyFill="1" applyBorder="1"/>
    <xf numFmtId="0" fontId="0" fillId="14" borderId="6" xfId="0" applyFill="1" applyBorder="1"/>
    <xf numFmtId="0" fontId="3" fillId="13" borderId="5" xfId="0" applyFont="1" applyFill="1" applyBorder="1"/>
    <xf numFmtId="0" fontId="0" fillId="13" borderId="19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2" borderId="26" xfId="0" applyFill="1" applyBorder="1"/>
    <xf numFmtId="0" fontId="0" fillId="8" borderId="14" xfId="0" applyFill="1" applyBorder="1"/>
    <xf numFmtId="0" fontId="0" fillId="8" borderId="13" xfId="0" applyFill="1" applyBorder="1"/>
    <xf numFmtId="0" fontId="2" fillId="10" borderId="1" xfId="0" applyFont="1" applyFill="1" applyBorder="1"/>
    <xf numFmtId="0" fontId="0" fillId="9" borderId="12" xfId="0" applyFill="1" applyBorder="1"/>
    <xf numFmtId="0" fontId="0" fillId="9" borderId="10" xfId="0" applyFill="1" applyBorder="1"/>
    <xf numFmtId="0" fontId="0" fillId="12" borderId="18" xfId="0" applyFill="1" applyBorder="1"/>
    <xf numFmtId="0" fontId="0" fillId="0" borderId="0" xfId="0" applyBorder="1"/>
    <xf numFmtId="0" fontId="0" fillId="0" borderId="28" xfId="0" applyFill="1" applyBorder="1"/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/>
    <xf numFmtId="0" fontId="0" fillId="9" borderId="30" xfId="0" applyFill="1" applyBorder="1"/>
    <xf numFmtId="0" fontId="0" fillId="6" borderId="26" xfId="0" applyFill="1" applyBorder="1"/>
    <xf numFmtId="0" fontId="0" fillId="9" borderId="26" xfId="0" applyFill="1" applyBorder="1"/>
    <xf numFmtId="0" fontId="0" fillId="6" borderId="31" xfId="0" applyFill="1" applyBorder="1"/>
    <xf numFmtId="0" fontId="0" fillId="0" borderId="32" xfId="0" applyFill="1" applyBorder="1"/>
    <xf numFmtId="0" fontId="0" fillId="12" borderId="34" xfId="0" applyFill="1" applyBorder="1"/>
    <xf numFmtId="0" fontId="0" fillId="6" borderId="17" xfId="0" applyFill="1" applyBorder="1" applyAlignment="1">
      <alignment horizontal="center"/>
    </xf>
    <xf numFmtId="0" fontId="0" fillId="8" borderId="33" xfId="0" applyFill="1" applyBorder="1"/>
    <xf numFmtId="0" fontId="0" fillId="11" borderId="15" xfId="0" applyFill="1" applyBorder="1" applyAlignment="1">
      <alignment horizontal="center"/>
    </xf>
    <xf numFmtId="0" fontId="0" fillId="11" borderId="13" xfId="0" applyFill="1" applyBorder="1"/>
    <xf numFmtId="0" fontId="0" fillId="11" borderId="33" xfId="0" applyFill="1" applyBorder="1"/>
    <xf numFmtId="0" fontId="0" fillId="11" borderId="14" xfId="0" applyFill="1" applyBorder="1"/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10" fillId="18" borderId="2" xfId="0" applyFont="1" applyFill="1" applyBorder="1"/>
    <xf numFmtId="0" fontId="0" fillId="18" borderId="3" xfId="0" applyFill="1" applyBorder="1"/>
    <xf numFmtId="0" fontId="0" fillId="18" borderId="4" xfId="0" applyFill="1" applyBorder="1"/>
    <xf numFmtId="0" fontId="0" fillId="15" borderId="6" xfId="0" applyFill="1" applyBorder="1"/>
    <xf numFmtId="0" fontId="0" fillId="13" borderId="6" xfId="0" applyFill="1" applyBorder="1"/>
    <xf numFmtId="0" fontId="0" fillId="14" borderId="21" xfId="0" applyFill="1" applyBorder="1"/>
    <xf numFmtId="0" fontId="0" fillId="9" borderId="39" xfId="0" applyFill="1" applyBorder="1"/>
    <xf numFmtId="0" fontId="0" fillId="19" borderId="40" xfId="0" applyFill="1" applyBorder="1"/>
    <xf numFmtId="0" fontId="0" fillId="14" borderId="22" xfId="0" applyFill="1" applyBorder="1"/>
    <xf numFmtId="0" fontId="0" fillId="10" borderId="30" xfId="0" applyFill="1" applyBorder="1"/>
    <xf numFmtId="0" fontId="0" fillId="10" borderId="39" xfId="0" applyFill="1" applyBorder="1"/>
    <xf numFmtId="0" fontId="0" fillId="0" borderId="0" xfId="0" applyAlignment="1">
      <alignment horizontal="center"/>
    </xf>
    <xf numFmtId="0" fontId="0" fillId="0" borderId="13" xfId="0" applyBorder="1"/>
    <xf numFmtId="0" fontId="0" fillId="0" borderId="33" xfId="0" applyBorder="1"/>
    <xf numFmtId="0" fontId="0" fillId="0" borderId="14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31" xfId="0" applyBorder="1"/>
    <xf numFmtId="0" fontId="0" fillId="0" borderId="13" xfId="0" applyFill="1" applyBorder="1"/>
    <xf numFmtId="0" fontId="0" fillId="0" borderId="46" xfId="0" applyFill="1" applyBorder="1"/>
    <xf numFmtId="0" fontId="0" fillId="0" borderId="45" xfId="0" applyFill="1" applyBorder="1"/>
    <xf numFmtId="0" fontId="0" fillId="0" borderId="47" xfId="0" applyFill="1" applyBorder="1"/>
    <xf numFmtId="0" fontId="0" fillId="0" borderId="31" xfId="0" applyFill="1" applyBorder="1"/>
    <xf numFmtId="0" fontId="0" fillId="33" borderId="6" xfId="0" applyFill="1" applyBorder="1"/>
    <xf numFmtId="0" fontId="0" fillId="34" borderId="6" xfId="0" applyFill="1" applyBorder="1"/>
    <xf numFmtId="0" fontId="2" fillId="4" borderId="1" xfId="0" applyFont="1" applyFill="1" applyBorder="1"/>
    <xf numFmtId="0" fontId="0" fillId="10" borderId="3" xfId="0" applyFill="1" applyBorder="1"/>
    <xf numFmtId="0" fontId="0" fillId="2" borderId="5" xfId="0" applyFill="1" applyBorder="1"/>
    <xf numFmtId="0" fontId="0" fillId="36" borderId="6" xfId="0" applyFill="1" applyBorder="1"/>
    <xf numFmtId="0" fontId="1" fillId="2" borderId="5" xfId="0" applyFont="1" applyFill="1" applyBorder="1"/>
    <xf numFmtId="0" fontId="0" fillId="2" borderId="7" xfId="0" applyFill="1" applyBorder="1"/>
    <xf numFmtId="0" fontId="0" fillId="36" borderId="9" xfId="0" applyFill="1" applyBorder="1"/>
    <xf numFmtId="0" fontId="0" fillId="3" borderId="23" xfId="0" applyFill="1" applyBorder="1"/>
    <xf numFmtId="0" fontId="0" fillId="3" borderId="48" xfId="0" applyFill="1" applyBorder="1"/>
    <xf numFmtId="0" fontId="0" fillId="3" borderId="20" xfId="0" applyFill="1" applyBorder="1"/>
    <xf numFmtId="0" fontId="0" fillId="35" borderId="1" xfId="0" applyFill="1" applyBorder="1"/>
    <xf numFmtId="0" fontId="0" fillId="33" borderId="1" xfId="0" applyFill="1" applyBorder="1"/>
    <xf numFmtId="0" fontId="0" fillId="20" borderId="1" xfId="0" applyFill="1" applyBorder="1"/>
    <xf numFmtId="0" fontId="0" fillId="23" borderId="1" xfId="0" applyFill="1" applyBorder="1"/>
    <xf numFmtId="0" fontId="0" fillId="29" borderId="1" xfId="0" applyFill="1" applyBorder="1"/>
    <xf numFmtId="0" fontId="0" fillId="28" borderId="1" xfId="0" applyFill="1" applyBorder="1"/>
    <xf numFmtId="0" fontId="0" fillId="27" borderId="1" xfId="0" applyFill="1" applyBorder="1"/>
    <xf numFmtId="0" fontId="13" fillId="27" borderId="1" xfId="0" applyFont="1" applyFill="1" applyBorder="1"/>
    <xf numFmtId="0" fontId="0" fillId="28" borderId="1" xfId="0" applyFont="1" applyFill="1" applyBorder="1"/>
    <xf numFmtId="0" fontId="13" fillId="29" borderId="1" xfId="0" applyFont="1" applyFill="1" applyBorder="1"/>
    <xf numFmtId="0" fontId="0" fillId="9" borderId="1" xfId="0" applyFill="1" applyBorder="1"/>
    <xf numFmtId="0" fontId="0" fillId="32" borderId="1" xfId="0" applyFill="1" applyBorder="1"/>
    <xf numFmtId="0" fontId="0" fillId="31" borderId="1" xfId="0" applyFill="1" applyBorder="1"/>
    <xf numFmtId="0" fontId="0" fillId="34" borderId="49" xfId="0" applyFill="1" applyBorder="1"/>
    <xf numFmtId="0" fontId="0" fillId="34" borderId="51" xfId="0" applyFill="1" applyBorder="1"/>
    <xf numFmtId="0" fontId="0" fillId="12" borderId="49" xfId="0" applyFill="1" applyBorder="1"/>
    <xf numFmtId="0" fontId="0" fillId="25" borderId="49" xfId="0" applyFill="1" applyBorder="1"/>
    <xf numFmtId="0" fontId="0" fillId="27" borderId="49" xfId="0" applyFill="1" applyBorder="1"/>
    <xf numFmtId="0" fontId="0" fillId="29" borderId="50" xfId="0" applyFill="1" applyBorder="1"/>
    <xf numFmtId="0" fontId="13" fillId="27" borderId="49" xfId="0" applyFont="1" applyFill="1" applyBorder="1"/>
    <xf numFmtId="0" fontId="13" fillId="27" borderId="51" xfId="0" applyFont="1" applyFill="1" applyBorder="1"/>
    <xf numFmtId="0" fontId="0" fillId="27" borderId="18" xfId="0" applyFill="1" applyBorder="1"/>
    <xf numFmtId="0" fontId="0" fillId="27" borderId="53" xfId="0" applyFill="1" applyBorder="1"/>
    <xf numFmtId="0" fontId="0" fillId="34" borderId="18" xfId="0" applyFill="1" applyBorder="1"/>
    <xf numFmtId="164" fontId="0" fillId="33" borderId="1" xfId="0" applyNumberFormat="1" applyFill="1" applyBorder="1"/>
    <xf numFmtId="0" fontId="0" fillId="35" borderId="5" xfId="0" applyFill="1" applyBorder="1"/>
    <xf numFmtId="0" fontId="0" fillId="34" borderId="24" xfId="0" applyFill="1" applyBorder="1"/>
    <xf numFmtId="0" fontId="3" fillId="35" borderId="5" xfId="0" applyFont="1" applyFill="1" applyBorder="1"/>
    <xf numFmtId="0" fontId="0" fillId="35" borderId="6" xfId="0" applyFill="1" applyBorder="1"/>
    <xf numFmtId="0" fontId="0" fillId="34" borderId="54" xfId="0" applyFill="1" applyBorder="1"/>
    <xf numFmtId="0" fontId="0" fillId="34" borderId="29" xfId="0" applyFill="1" applyBorder="1"/>
    <xf numFmtId="0" fontId="0" fillId="11" borderId="5" xfId="0" applyFill="1" applyBorder="1"/>
    <xf numFmtId="0" fontId="0" fillId="12" borderId="24" xfId="0" applyFill="1" applyBorder="1"/>
    <xf numFmtId="0" fontId="0" fillId="22" borderId="5" xfId="0" applyFill="1" applyBorder="1"/>
    <xf numFmtId="0" fontId="0" fillId="25" borderId="24" xfId="0" applyFill="1" applyBorder="1"/>
    <xf numFmtId="0" fontId="0" fillId="29" borderId="5" xfId="0" applyFill="1" applyBorder="1"/>
    <xf numFmtId="0" fontId="0" fillId="28" borderId="6" xfId="0" applyFill="1" applyBorder="1"/>
    <xf numFmtId="0" fontId="0" fillId="27" borderId="6" xfId="0" applyFill="1" applyBorder="1"/>
    <xf numFmtId="0" fontId="0" fillId="27" borderId="54" xfId="0" applyFill="1" applyBorder="1"/>
    <xf numFmtId="0" fontId="0" fillId="27" borderId="45" xfId="0" applyFill="1" applyBorder="1"/>
    <xf numFmtId="0" fontId="0" fillId="27" borderId="29" xfId="0" applyFill="1" applyBorder="1"/>
    <xf numFmtId="0" fontId="13" fillId="29" borderId="5" xfId="0" applyFont="1" applyFill="1" applyBorder="1"/>
    <xf numFmtId="0" fontId="0" fillId="32" borderId="5" xfId="0" applyFill="1" applyBorder="1"/>
    <xf numFmtId="0" fontId="0" fillId="31" borderId="6" xfId="0" applyFill="1" applyBorder="1"/>
    <xf numFmtId="0" fontId="13" fillId="32" borderId="7" xfId="0" applyFont="1" applyFill="1" applyBorder="1"/>
    <xf numFmtId="0" fontId="13" fillId="32" borderId="8" xfId="0" applyFont="1" applyFill="1" applyBorder="1"/>
    <xf numFmtId="0" fontId="0" fillId="31" borderId="9" xfId="0" applyFill="1" applyBorder="1"/>
    <xf numFmtId="0" fontId="0" fillId="35" borderId="50" xfId="0" applyFill="1" applyBorder="1"/>
    <xf numFmtId="0" fontId="3" fillId="35" borderId="50" xfId="0" applyFont="1" applyFill="1" applyBorder="1"/>
    <xf numFmtId="0" fontId="0" fillId="11" borderId="50" xfId="0" applyFill="1" applyBorder="1"/>
    <xf numFmtId="0" fontId="0" fillId="22" borderId="50" xfId="0" applyFill="1" applyBorder="1"/>
    <xf numFmtId="0" fontId="13" fillId="29" borderId="50" xfId="0" applyFont="1" applyFill="1" applyBorder="1"/>
    <xf numFmtId="0" fontId="0" fillId="32" borderId="50" xfId="0" applyFill="1" applyBorder="1"/>
    <xf numFmtId="0" fontId="13" fillId="32" borderId="55" xfId="0" applyFont="1" applyFill="1" applyBorder="1"/>
    <xf numFmtId="0" fontId="0" fillId="27" borderId="24" xfId="0" applyFill="1" applyBorder="1"/>
    <xf numFmtId="0" fontId="0" fillId="35" borderId="19" xfId="0" applyFill="1" applyBorder="1"/>
    <xf numFmtId="0" fontId="0" fillId="33" borderId="16" xfId="0" applyFill="1" applyBorder="1"/>
    <xf numFmtId="0" fontId="0" fillId="35" borderId="52" xfId="0" applyFill="1" applyBorder="1"/>
    <xf numFmtId="0" fontId="0" fillId="11" borderId="19" xfId="0" applyFill="1" applyBorder="1"/>
    <xf numFmtId="0" fontId="0" fillId="20" borderId="16" xfId="0" applyFill="1" applyBorder="1"/>
    <xf numFmtId="0" fontId="0" fillId="12" borderId="29" xfId="0" applyFill="1" applyBorder="1"/>
    <xf numFmtId="0" fontId="0" fillId="11" borderId="52" xfId="0" applyFill="1" applyBorder="1"/>
    <xf numFmtId="0" fontId="0" fillId="22" borderId="19" xfId="0" applyFill="1" applyBorder="1"/>
    <xf numFmtId="0" fontId="0" fillId="23" borderId="16" xfId="0" applyFill="1" applyBorder="1"/>
    <xf numFmtId="0" fontId="0" fillId="25" borderId="18" xfId="0" applyFill="1" applyBorder="1"/>
    <xf numFmtId="0" fontId="0" fillId="25" borderId="29" xfId="0" applyFill="1" applyBorder="1"/>
    <xf numFmtId="0" fontId="0" fillId="22" borderId="52" xfId="0" applyFill="1" applyBorder="1"/>
    <xf numFmtId="0" fontId="0" fillId="29" borderId="19" xfId="0" applyFill="1" applyBorder="1" applyAlignment="1">
      <alignment horizontal="left"/>
    </xf>
    <xf numFmtId="0" fontId="0" fillId="10" borderId="16" xfId="0" applyFill="1" applyBorder="1" applyAlignment="1">
      <alignment horizontal="right"/>
    </xf>
    <xf numFmtId="0" fontId="0" fillId="29" borderId="16" xfId="0" applyFill="1" applyBorder="1" applyAlignment="1">
      <alignment horizontal="left"/>
    </xf>
    <xf numFmtId="0" fontId="0" fillId="10" borderId="20" xfId="0" applyFill="1" applyBorder="1" applyAlignment="1">
      <alignment horizontal="right"/>
    </xf>
    <xf numFmtId="0" fontId="0" fillId="29" borderId="52" xfId="0" applyFill="1" applyBorder="1" applyAlignment="1">
      <alignment horizontal="left"/>
    </xf>
    <xf numFmtId="0" fontId="0" fillId="32" borderId="19" xfId="0" applyFill="1" applyBorder="1"/>
    <xf numFmtId="0" fontId="0" fillId="31" borderId="16" xfId="0" applyFill="1" applyBorder="1"/>
    <xf numFmtId="0" fontId="0" fillId="32" borderId="16" xfId="0" applyFill="1" applyBorder="1"/>
    <xf numFmtId="0" fontId="0" fillId="32" borderId="52" xfId="0" applyFill="1" applyBorder="1"/>
    <xf numFmtId="0" fontId="0" fillId="15" borderId="1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164" fontId="0" fillId="15" borderId="1" xfId="0" applyNumberFormat="1" applyFill="1" applyBorder="1"/>
    <xf numFmtId="0" fontId="0" fillId="15" borderId="20" xfId="0" applyFill="1" applyBorder="1"/>
    <xf numFmtId="0" fontId="0" fillId="15" borderId="9" xfId="0" applyFill="1" applyBorder="1"/>
    <xf numFmtId="164" fontId="0" fillId="15" borderId="6" xfId="0" applyNumberFormat="1" applyFill="1" applyBorder="1"/>
    <xf numFmtId="164" fontId="0" fillId="15" borderId="9" xfId="0" applyNumberFormat="1" applyFill="1" applyBorder="1"/>
    <xf numFmtId="0" fontId="2" fillId="38" borderId="11" xfId="0" applyFont="1" applyFill="1" applyBorder="1"/>
    <xf numFmtId="0" fontId="0" fillId="21" borderId="49" xfId="0" applyFill="1" applyBorder="1"/>
    <xf numFmtId="0" fontId="0" fillId="21" borderId="1" xfId="0" applyFill="1" applyBorder="1"/>
    <xf numFmtId="0" fontId="0" fillId="14" borderId="1" xfId="0" applyFill="1" applyBorder="1"/>
    <xf numFmtId="0" fontId="0" fillId="35" borderId="5" xfId="0" applyFont="1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2" fontId="0" fillId="4" borderId="8" xfId="0" applyNumberFormat="1" applyFill="1" applyBorder="1"/>
    <xf numFmtId="2" fontId="2" fillId="4" borderId="8" xfId="0" applyNumberFormat="1" applyFont="1" applyFill="1" applyBorder="1"/>
    <xf numFmtId="11" fontId="0" fillId="10" borderId="6" xfId="0" applyNumberFormat="1" applyFill="1" applyBorder="1"/>
    <xf numFmtId="0" fontId="0" fillId="15" borderId="27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6" fillId="16" borderId="35" xfId="0" applyFont="1" applyFill="1" applyBorder="1" applyAlignment="1">
      <alignment horizontal="center"/>
    </xf>
    <xf numFmtId="0" fontId="6" fillId="16" borderId="36" xfId="0" applyFont="1" applyFill="1" applyBorder="1" applyAlignment="1">
      <alignment horizontal="center"/>
    </xf>
    <xf numFmtId="0" fontId="6" fillId="16" borderId="33" xfId="0" applyFont="1" applyFill="1" applyBorder="1" applyAlignment="1">
      <alignment horizontal="center"/>
    </xf>
    <xf numFmtId="0" fontId="7" fillId="17" borderId="36" xfId="0" applyFont="1" applyFill="1" applyBorder="1" applyAlignment="1">
      <alignment horizontal="center"/>
    </xf>
    <xf numFmtId="0" fontId="7" fillId="17" borderId="33" xfId="0" applyFont="1" applyFill="1" applyBorder="1" applyAlignment="1">
      <alignment horizontal="center"/>
    </xf>
    <xf numFmtId="0" fontId="7" fillId="17" borderId="14" xfId="0" applyFont="1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37" borderId="56" xfId="0" applyFill="1" applyBorder="1" applyAlignment="1">
      <alignment horizontal="center"/>
    </xf>
    <xf numFmtId="0" fontId="0" fillId="37" borderId="57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24" borderId="21" xfId="0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6" borderId="2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0" fontId="0" fillId="30" borderId="21" xfId="0" applyFill="1" applyBorder="1" applyAlignment="1">
      <alignment horizontal="center"/>
    </xf>
    <xf numFmtId="0" fontId="0" fillId="26" borderId="59" xfId="0" applyFill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6600CC"/>
        </patternFill>
      </fill>
    </dxf>
    <dxf>
      <font>
        <color theme="0"/>
      </font>
      <fill>
        <patternFill patternType="solid">
          <fgColor auto="1"/>
          <bgColor rgb="FF6600CC"/>
        </patternFill>
      </fill>
    </dxf>
    <dxf>
      <fill>
        <patternFill>
          <bgColor theme="5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66FF"/>
      <color rgb="FFFF99FF"/>
      <color rgb="FFFF00FF"/>
      <color rgb="FF00FFFF"/>
      <color rgb="FF66FFFF"/>
      <color rgb="FFCCFFFF"/>
      <color rgb="FF33CCCC"/>
      <color rgb="FF6600CC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l-SI"/>
              <a:t>Premer obroča v odvisnosti od</a:t>
            </a:r>
            <a:r>
              <a:rPr lang="sl-SI" baseline="0"/>
              <a:t> števila zob sonca</a:t>
            </a:r>
          </a:p>
        </c:rich>
      </c:tx>
      <c:layout>
        <c:manualLayout>
          <c:xMode val="edge"/>
          <c:yMode val="edge"/>
          <c:x val="0.21505066607326198"/>
          <c:y val="1.8608156243877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title>
    <c:autoTitleDeleted val="0"/>
    <c:plotArea>
      <c:layout>
        <c:manualLayout>
          <c:layoutTarget val="inner"/>
          <c:xMode val="edge"/>
          <c:yMode val="edge"/>
          <c:x val="0.12548359580052493"/>
          <c:y val="0.21800925925925929"/>
          <c:w val="0.67936217468499804"/>
          <c:h val="0.57641987459900845"/>
        </c:manualLayout>
      </c:layout>
      <c:scatterChart>
        <c:scatterStyle val="lineMarker"/>
        <c:varyColors val="0"/>
        <c:ser>
          <c:idx val="0"/>
          <c:order val="0"/>
          <c:tx>
            <c:v>Prva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Korak_2!$O$4:$O$30</c:f>
              <c:numCache>
                <c:formatCode>General</c:formatCode>
                <c:ptCount val="27"/>
                <c:pt idx="0">
                  <c:v>217</c:v>
                </c:pt>
                <c:pt idx="1">
                  <c:v>232.75</c:v>
                </c:pt>
                <c:pt idx="2">
                  <c:v>213</c:v>
                </c:pt>
                <c:pt idx="3">
                  <c:v>207.625</c:v>
                </c:pt>
                <c:pt idx="4">
                  <c:v>220</c:v>
                </c:pt>
                <c:pt idx="5">
                  <c:v>232.375</c:v>
                </c:pt>
                <c:pt idx="6">
                  <c:v>244.75</c:v>
                </c:pt>
                <c:pt idx="7">
                  <c:v>210.375</c:v>
                </c:pt>
                <c:pt idx="8">
                  <c:v>220.5</c:v>
                </c:pt>
                <c:pt idx="9">
                  <c:v>205</c:v>
                </c:pt>
                <c:pt idx="10">
                  <c:v>212</c:v>
                </c:pt>
                <c:pt idx="11">
                  <c:v>221</c:v>
                </c:pt>
                <c:pt idx="12">
                  <c:v>230</c:v>
                </c:pt>
                <c:pt idx="13">
                  <c:v>239</c:v>
                </c:pt>
                <c:pt idx="14">
                  <c:v>248</c:v>
                </c:pt>
                <c:pt idx="15">
                  <c:v>257</c:v>
                </c:pt>
                <c:pt idx="16">
                  <c:v>266</c:v>
                </c:pt>
                <c:pt idx="17">
                  <c:v>275</c:v>
                </c:pt>
                <c:pt idx="18">
                  <c:v>284</c:v>
                </c:pt>
                <c:pt idx="19">
                  <c:v>293</c:v>
                </c:pt>
                <c:pt idx="20">
                  <c:v>302</c:v>
                </c:pt>
                <c:pt idx="21">
                  <c:v>311</c:v>
                </c:pt>
                <c:pt idx="22">
                  <c:v>320</c:v>
                </c:pt>
                <c:pt idx="23">
                  <c:v>327</c:v>
                </c:pt>
                <c:pt idx="24">
                  <c:v>336</c:v>
                </c:pt>
                <c:pt idx="25">
                  <c:v>345</c:v>
                </c:pt>
                <c:pt idx="26">
                  <c:v>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029-9E15-BB967E1547AE}"/>
            </c:ext>
          </c:extLst>
        </c:ser>
        <c:ser>
          <c:idx val="1"/>
          <c:order val="1"/>
          <c:tx>
            <c:v>Druga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Korak_2!$AA$4:$AA$30</c:f>
              <c:numCache>
                <c:formatCode>General</c:formatCode>
                <c:ptCount val="27"/>
                <c:pt idx="0">
                  <c:v>203</c:v>
                </c:pt>
                <c:pt idx="1">
                  <c:v>220.5</c:v>
                </c:pt>
                <c:pt idx="2">
                  <c:v>238</c:v>
                </c:pt>
                <c:pt idx="3">
                  <c:v>213</c:v>
                </c:pt>
                <c:pt idx="4">
                  <c:v>209</c:v>
                </c:pt>
                <c:pt idx="5">
                  <c:v>217.25</c:v>
                </c:pt>
                <c:pt idx="6">
                  <c:v>210</c:v>
                </c:pt>
                <c:pt idx="7">
                  <c:v>222.5</c:v>
                </c:pt>
                <c:pt idx="8">
                  <c:v>207</c:v>
                </c:pt>
                <c:pt idx="9">
                  <c:v>218.25</c:v>
                </c:pt>
                <c:pt idx="10">
                  <c:v>225</c:v>
                </c:pt>
                <c:pt idx="11">
                  <c:v>210</c:v>
                </c:pt>
                <c:pt idx="12">
                  <c:v>220</c:v>
                </c:pt>
                <c:pt idx="13">
                  <c:v>226</c:v>
                </c:pt>
                <c:pt idx="14">
                  <c:v>206.5</c:v>
                </c:pt>
                <c:pt idx="15">
                  <c:v>211.75</c:v>
                </c:pt>
                <c:pt idx="16">
                  <c:v>220.5</c:v>
                </c:pt>
                <c:pt idx="17">
                  <c:v>225.75</c:v>
                </c:pt>
                <c:pt idx="18">
                  <c:v>234.5</c:v>
                </c:pt>
                <c:pt idx="19">
                  <c:v>208.5</c:v>
                </c:pt>
                <c:pt idx="20">
                  <c:v>213</c:v>
                </c:pt>
                <c:pt idx="21">
                  <c:v>220.5</c:v>
                </c:pt>
                <c:pt idx="22">
                  <c:v>206.25</c:v>
                </c:pt>
                <c:pt idx="23">
                  <c:v>213.125</c:v>
                </c:pt>
                <c:pt idx="24">
                  <c:v>220</c:v>
                </c:pt>
                <c:pt idx="25">
                  <c:v>224.125</c:v>
                </c:pt>
                <c:pt idx="26">
                  <c:v>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7-4029-9E15-BB967E1547AE}"/>
            </c:ext>
          </c:extLst>
        </c:ser>
        <c:ser>
          <c:idx val="2"/>
          <c:order val="2"/>
          <c:tx>
            <c:v>Db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Korak_2!$AH$4:$AH$30</c:f>
              <c:numCache>
                <c:formatCode>General</c:formatCode>
                <c:ptCount val="27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7-4029-9E15-BB967E1547AE}"/>
            </c:ext>
          </c:extLst>
        </c:ser>
        <c:ser>
          <c:idx val="3"/>
          <c:order val="3"/>
          <c:tx>
            <c:v>max d3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Korak_2!$AU$4:$AU$30</c:f>
              <c:numCache>
                <c:formatCode>General</c:formatCode>
                <c:ptCount val="27"/>
                <c:pt idx="0">
                  <c:v>205</c:v>
                </c:pt>
                <c:pt idx="1">
                  <c:v>205</c:v>
                </c:pt>
                <c:pt idx="2">
                  <c:v>205</c:v>
                </c:pt>
                <c:pt idx="3">
                  <c:v>208</c:v>
                </c:pt>
                <c:pt idx="4">
                  <c:v>209.5</c:v>
                </c:pt>
                <c:pt idx="5">
                  <c:v>209.5</c:v>
                </c:pt>
                <c:pt idx="6">
                  <c:v>211</c:v>
                </c:pt>
                <c:pt idx="7">
                  <c:v>211</c:v>
                </c:pt>
                <c:pt idx="8">
                  <c:v>212.5</c:v>
                </c:pt>
                <c:pt idx="9">
                  <c:v>212.5</c:v>
                </c:pt>
                <c:pt idx="10">
                  <c:v>212.5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215.5</c:v>
                </c:pt>
                <c:pt idx="15">
                  <c:v>215.5</c:v>
                </c:pt>
                <c:pt idx="16">
                  <c:v>215.5</c:v>
                </c:pt>
                <c:pt idx="17">
                  <c:v>215.5</c:v>
                </c:pt>
                <c:pt idx="18">
                  <c:v>215.5</c:v>
                </c:pt>
                <c:pt idx="19">
                  <c:v>217</c:v>
                </c:pt>
                <c:pt idx="20">
                  <c:v>217</c:v>
                </c:pt>
                <c:pt idx="21">
                  <c:v>217</c:v>
                </c:pt>
                <c:pt idx="22">
                  <c:v>217.75</c:v>
                </c:pt>
                <c:pt idx="23">
                  <c:v>217.75</c:v>
                </c:pt>
                <c:pt idx="24">
                  <c:v>217.75</c:v>
                </c:pt>
                <c:pt idx="25">
                  <c:v>217.75</c:v>
                </c:pt>
                <c:pt idx="26">
                  <c:v>217.75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0-4DAD-B666-084E646E3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93968"/>
        <c:axId val="1291267984"/>
      </c:scatterChart>
      <c:valAx>
        <c:axId val="801993968"/>
        <c:scaling>
          <c:orientation val="minMax"/>
          <c:max val="40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z1 [/]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1291267984"/>
        <c:crosses val="autoZero"/>
        <c:crossBetween val="midCat"/>
      </c:valAx>
      <c:valAx>
        <c:axId val="1291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Premer obroča</a:t>
                </a:r>
                <a:r>
                  <a:rPr lang="sl-SI" baseline="0"/>
                  <a:t> </a:t>
                </a:r>
              </a:p>
              <a:p>
                <a:pPr>
                  <a:defRPr/>
                </a:pPr>
                <a:r>
                  <a:rPr lang="sl-SI" baseline="0"/>
                  <a:t>[mm]</a:t>
                </a:r>
                <a:endParaRPr lang="sl-SI"/>
              </a:p>
            </c:rich>
          </c:tx>
          <c:layout>
            <c:manualLayout>
              <c:xMode val="edge"/>
              <c:yMode val="edge"/>
              <c:x val="2.8220675314136457E-2"/>
              <c:y val="2.62797773115730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80199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15" horiz="1" max="350" min="100" noThreeD="1" page="10" val="240"/>
</file>

<file path=xl/ctrlProps/ctrlProp2.xml><?xml version="1.0" encoding="utf-8"?>
<formControlPr xmlns="http://schemas.microsoft.com/office/spreadsheetml/2009/9/main" objectType="Scroll" dx="22" fmlaLink="$E$9" horiz="1" max="1000" min="400" page="0" val="98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20637</xdr:rowOff>
    </xdr:from>
    <xdr:to>
      <xdr:col>8</xdr:col>
      <xdr:colOff>571500</xdr:colOff>
      <xdr:row>34</xdr:row>
      <xdr:rowOff>145580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8</xdr:col>
          <xdr:colOff>228600</xdr:colOff>
          <xdr:row>12</xdr:row>
          <xdr:rowOff>9525</xdr:rowOff>
        </xdr:to>
        <xdr:sp macro="" textlink="">
          <xdr:nvSpPr>
            <xdr:cNvPr id="3073" name="Scroll Bar 1" descr="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8</xdr:col>
          <xdr:colOff>219075</xdr:colOff>
          <xdr:row>8</xdr:row>
          <xdr:rowOff>190500</xdr:rowOff>
        </xdr:to>
        <xdr:sp macro="" textlink="">
          <xdr:nvSpPr>
            <xdr:cNvPr id="3074" name="Scroll Bar 2" descr="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590550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kletke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590550</xdr:colOff>
          <xdr:row>3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6</xdr:col>
          <xdr:colOff>590550</xdr:colOff>
          <xdr:row>4</xdr:row>
          <xdr:rowOff>200025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 1&amp;2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6</xdr:row>
          <xdr:rowOff>28575</xdr:rowOff>
        </xdr:from>
        <xdr:to>
          <xdr:col>7</xdr:col>
          <xdr:colOff>552450</xdr:colOff>
          <xdr:row>7</xdr:row>
          <xdr:rowOff>57150</xdr:rowOff>
        </xdr:to>
        <xdr:sp macro="" textlink="">
          <xdr:nvSpPr>
            <xdr:cNvPr id="3086" name="Labe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Prestavno razmerje prvega planetneg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200025</xdr:rowOff>
        </xdr:from>
        <xdr:to>
          <xdr:col>8</xdr:col>
          <xdr:colOff>476250</xdr:colOff>
          <xdr:row>9</xdr:row>
          <xdr:rowOff>200025</xdr:rowOff>
        </xdr:to>
        <xdr:sp macro="" textlink="">
          <xdr:nvSpPr>
            <xdr:cNvPr id="3087" name="Label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Premer bobna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9</xdr:row>
      <xdr:rowOff>171450</xdr:rowOff>
    </xdr:from>
    <xdr:to>
      <xdr:col>20</xdr:col>
      <xdr:colOff>209550</xdr:colOff>
      <xdr:row>18</xdr:row>
      <xdr:rowOff>124709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515"/>
        <a:stretch/>
      </xdr:blipFill>
      <xdr:spPr>
        <a:xfrm>
          <a:off x="13268325" y="1914525"/>
          <a:ext cx="3590925" cy="16772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l-SI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Generiraj Latex enačbe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6BA-3D8A-45E5-9F35-BBB85FE79007}">
  <sheetPr codeName="Sheet4">
    <tabColor theme="4" tint="0.79998168889431442"/>
  </sheetPr>
  <dimension ref="A1:D9"/>
  <sheetViews>
    <sheetView tabSelected="1" workbookViewId="0">
      <selection activeCell="B1" sqref="B1"/>
    </sheetView>
  </sheetViews>
  <sheetFormatPr defaultRowHeight="15" x14ac:dyDescent="0.25"/>
  <cols>
    <col min="1" max="1" width="18.42578125" bestFit="1" customWidth="1"/>
  </cols>
  <sheetData>
    <row r="1" spans="1:4" x14ac:dyDescent="0.25">
      <c r="A1" s="3" t="s">
        <v>11</v>
      </c>
      <c r="B1" s="96">
        <v>4</v>
      </c>
      <c r="C1" s="103"/>
      <c r="D1" s="102"/>
    </row>
    <row r="2" spans="1:4" x14ac:dyDescent="0.25">
      <c r="A2" s="4" t="s">
        <v>0</v>
      </c>
      <c r="B2" s="1" t="s">
        <v>8</v>
      </c>
      <c r="C2" s="1" t="s">
        <v>9</v>
      </c>
      <c r="D2" s="104"/>
    </row>
    <row r="3" spans="1:4" x14ac:dyDescent="0.25">
      <c r="A3" s="97" t="s">
        <v>1</v>
      </c>
      <c r="B3" s="95">
        <f ca="1">INDIRECT("Pomožno!B"&amp;B1+21)</f>
        <v>10000</v>
      </c>
      <c r="C3" s="196">
        <f ca="1">(C4*0.9)/C6*1000</f>
        <v>10377.93169578744</v>
      </c>
      <c r="D3" s="98" t="s">
        <v>3</v>
      </c>
    </row>
    <row r="4" spans="1:4" x14ac:dyDescent="0.25">
      <c r="A4" s="97" t="s">
        <v>166</v>
      </c>
      <c r="B4" s="196">
        <f ca="1">B3*B6/(0.9*1000)</f>
        <v>3888.8888888888887</v>
      </c>
      <c r="C4" s="44">
        <v>4000</v>
      </c>
      <c r="D4" s="98" t="s">
        <v>5</v>
      </c>
    </row>
    <row r="5" spans="1:4" x14ac:dyDescent="0.25">
      <c r="A5" s="97" t="s">
        <v>79</v>
      </c>
      <c r="B5" s="44">
        <f>1420/60</f>
        <v>23.666666666666668</v>
      </c>
      <c r="C5" s="2">
        <f>B5</f>
        <v>23.666666666666668</v>
      </c>
      <c r="D5" s="98" t="s">
        <v>10</v>
      </c>
    </row>
    <row r="6" spans="1:4" x14ac:dyDescent="0.25">
      <c r="A6" s="97" t="s">
        <v>2</v>
      </c>
      <c r="B6" s="95">
        <f ca="1">INDIRECT("Pomožno!C"&amp;B1+21)*1000</f>
        <v>350</v>
      </c>
      <c r="C6" s="195">
        <f ca="1">PI()*Korak_2!B15*C8</f>
        <v>346.88993004851773</v>
      </c>
      <c r="D6" s="98" t="s">
        <v>14</v>
      </c>
    </row>
    <row r="7" spans="1:4" x14ac:dyDescent="0.25">
      <c r="A7" s="97" t="s">
        <v>6</v>
      </c>
      <c r="B7" s="95">
        <f>Korak_2!B15</f>
        <v>240</v>
      </c>
      <c r="C7" s="95">
        <f>Korak_2!B15</f>
        <v>240</v>
      </c>
      <c r="D7" s="98" t="s">
        <v>7</v>
      </c>
    </row>
    <row r="8" spans="1:4" x14ac:dyDescent="0.25">
      <c r="A8" s="99" t="s">
        <v>162</v>
      </c>
      <c r="B8" s="195">
        <f ca="1">B6/(PI()*B7)</f>
        <v>0.46420191735136146</v>
      </c>
      <c r="C8" s="195">
        <f ca="1">C5/C9</f>
        <v>0.46007705896686163</v>
      </c>
      <c r="D8" s="98" t="s">
        <v>10</v>
      </c>
    </row>
    <row r="9" spans="1:4" ht="15.75" thickBot="1" x14ac:dyDescent="0.3">
      <c r="A9" s="100" t="s">
        <v>13</v>
      </c>
      <c r="B9" s="197">
        <f ca="1">C5/B8</f>
        <v>50.983560778257214</v>
      </c>
      <c r="C9" s="198">
        <f ca="1">Korak_2!G17</f>
        <v>51.440658049353701</v>
      </c>
      <c r="D9" s="101"/>
    </row>
  </sheetData>
  <conditionalFormatting sqref="C9">
    <cfRule type="cellIs" dxfId="22" priority="1" operator="lessThanOrEqual">
      <formula>$B$9*0.95</formula>
    </cfRule>
    <cfRule type="cellIs" dxfId="21" priority="2" operator="greaterThanOrEqual">
      <formula>$B$9*1.05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FB5F-65C6-4DED-BDD7-7F823B139614}">
  <sheetPr codeName="Sheet3">
    <tabColor theme="4" tint="0.39997558519241921"/>
  </sheetPr>
  <dimension ref="A1:AU30"/>
  <sheetViews>
    <sheetView topLeftCell="D1" zoomScale="70" zoomScaleNormal="70" workbookViewId="0">
      <selection activeCell="H36" sqref="H36"/>
    </sheetView>
  </sheetViews>
  <sheetFormatPr defaultRowHeight="15" x14ac:dyDescent="0.25"/>
  <cols>
    <col min="1" max="1" width="18.42578125" bestFit="1" customWidth="1"/>
    <col min="5" max="5" width="12.42578125" bestFit="1" customWidth="1"/>
    <col min="6" max="6" width="13.85546875" bestFit="1" customWidth="1"/>
    <col min="8" max="8" width="15.140625" bestFit="1" customWidth="1"/>
    <col min="10" max="10" width="7.7109375" bestFit="1" customWidth="1"/>
    <col min="12" max="12" width="7.5703125" bestFit="1" customWidth="1"/>
    <col min="14" max="14" width="6.42578125" bestFit="1" customWidth="1"/>
    <col min="15" max="15" width="8.5703125" bestFit="1" customWidth="1"/>
    <col min="21" max="21" width="14.140625" customWidth="1"/>
    <col min="33" max="33" width="13.7109375" style="48" customWidth="1"/>
    <col min="38" max="38" width="14.140625" bestFit="1" customWidth="1"/>
  </cols>
  <sheetData>
    <row r="1" spans="1:47" ht="19.5" thickBot="1" x14ac:dyDescent="0.35">
      <c r="A1" s="68" t="s">
        <v>16</v>
      </c>
      <c r="B1" s="69"/>
      <c r="C1" s="70"/>
      <c r="J1" s="206" t="s">
        <v>77</v>
      </c>
      <c r="K1" s="207"/>
      <c r="L1" s="207"/>
      <c r="M1" s="207"/>
      <c r="N1" s="208"/>
      <c r="O1" s="208"/>
      <c r="P1" s="208"/>
      <c r="Q1" s="208"/>
      <c r="R1" s="208"/>
      <c r="S1" s="208"/>
      <c r="T1" s="208"/>
      <c r="U1" s="208"/>
      <c r="V1" s="209" t="s">
        <v>15</v>
      </c>
      <c r="W1" s="209"/>
      <c r="X1" s="209"/>
      <c r="Y1" s="209"/>
      <c r="Z1" s="209"/>
      <c r="AA1" s="209"/>
      <c r="AB1" s="210"/>
      <c r="AC1" s="210"/>
      <c r="AD1" s="210"/>
      <c r="AE1" s="210"/>
      <c r="AF1" s="210"/>
      <c r="AG1" s="211"/>
    </row>
    <row r="2" spans="1:47" x14ac:dyDescent="0.25">
      <c r="A2" s="32" t="s">
        <v>4</v>
      </c>
      <c r="B2" s="181">
        <f>Korak_1!C4</f>
        <v>4000</v>
      </c>
      <c r="C2" s="36" t="s">
        <v>5</v>
      </c>
      <c r="J2" s="217" t="s">
        <v>20</v>
      </c>
      <c r="K2" s="219"/>
      <c r="L2" s="217" t="s">
        <v>56</v>
      </c>
      <c r="M2" s="218"/>
      <c r="N2" s="215" t="s">
        <v>59</v>
      </c>
      <c r="O2" s="216"/>
      <c r="P2" s="43"/>
      <c r="Q2" s="61"/>
      <c r="R2" s="61"/>
      <c r="S2" s="61"/>
      <c r="T2" s="61"/>
      <c r="U2" s="42"/>
      <c r="V2" s="220" t="s">
        <v>20</v>
      </c>
      <c r="W2" s="221"/>
      <c r="X2" s="222" t="s">
        <v>56</v>
      </c>
      <c r="Y2" s="221"/>
      <c r="Z2" s="222" t="s">
        <v>59</v>
      </c>
      <c r="AA2" s="221"/>
      <c r="AB2" s="63"/>
      <c r="AC2" s="64"/>
      <c r="AD2" s="64"/>
      <c r="AE2" s="64"/>
      <c r="AF2" s="64"/>
      <c r="AG2" s="65"/>
    </row>
    <row r="3" spans="1:47" ht="15.75" thickBot="1" x14ac:dyDescent="0.3">
      <c r="A3" s="32" t="s">
        <v>79</v>
      </c>
      <c r="B3" s="181">
        <f>Korak_1!C5</f>
        <v>23.666666666666668</v>
      </c>
      <c r="C3" s="36" t="s">
        <v>10</v>
      </c>
      <c r="J3" s="50" t="s">
        <v>23</v>
      </c>
      <c r="K3" s="51" t="s">
        <v>24</v>
      </c>
      <c r="L3" s="50" t="s">
        <v>23</v>
      </c>
      <c r="M3" s="60" t="s">
        <v>24</v>
      </c>
      <c r="N3" s="50" t="s">
        <v>57</v>
      </c>
      <c r="O3" s="51" t="s">
        <v>58</v>
      </c>
      <c r="P3" s="50" t="s">
        <v>61</v>
      </c>
      <c r="Q3" s="52" t="s">
        <v>48</v>
      </c>
      <c r="R3" s="52" t="s">
        <v>60</v>
      </c>
      <c r="S3" s="52" t="s">
        <v>52</v>
      </c>
      <c r="T3" s="52" t="s">
        <v>55</v>
      </c>
      <c r="U3" s="51" t="s">
        <v>67</v>
      </c>
      <c r="V3" s="66" t="s">
        <v>23</v>
      </c>
      <c r="W3" s="67" t="s">
        <v>24</v>
      </c>
      <c r="X3" s="66" t="s">
        <v>23</v>
      </c>
      <c r="Y3" s="67" t="s">
        <v>24</v>
      </c>
      <c r="Z3" s="66" t="s">
        <v>57</v>
      </c>
      <c r="AA3" s="67" t="s">
        <v>58</v>
      </c>
      <c r="AB3" s="66" t="s">
        <v>61</v>
      </c>
      <c r="AC3" s="62" t="s">
        <v>48</v>
      </c>
      <c r="AD3" s="62" t="s">
        <v>60</v>
      </c>
      <c r="AE3" s="62" t="s">
        <v>52</v>
      </c>
      <c r="AF3" s="62" t="s">
        <v>55</v>
      </c>
      <c r="AG3" s="67" t="s">
        <v>67</v>
      </c>
      <c r="AH3" s="58" t="s">
        <v>74</v>
      </c>
      <c r="AI3" s="49" t="s">
        <v>72</v>
      </c>
      <c r="AJ3" s="49" t="s">
        <v>73</v>
      </c>
      <c r="AK3" s="25" t="s">
        <v>63</v>
      </c>
      <c r="AL3" s="25" t="s">
        <v>64</v>
      </c>
      <c r="AM3" s="25" t="s">
        <v>68</v>
      </c>
      <c r="AP3" t="s">
        <v>69</v>
      </c>
      <c r="AQ3" t="s">
        <v>70</v>
      </c>
      <c r="AR3" t="s">
        <v>71</v>
      </c>
      <c r="AS3" t="s">
        <v>75</v>
      </c>
      <c r="AT3" t="s">
        <v>76</v>
      </c>
      <c r="AU3" t="s">
        <v>163</v>
      </c>
    </row>
    <row r="4" spans="1:47" ht="16.5" thickTop="1" thickBot="1" x14ac:dyDescent="0.3">
      <c r="A4" s="32" t="s">
        <v>2</v>
      </c>
      <c r="B4" s="181">
        <f ca="1">Korak_1!B6</f>
        <v>350</v>
      </c>
      <c r="C4" s="36" t="s">
        <v>14</v>
      </c>
      <c r="H4" s="45"/>
      <c r="J4" s="40">
        <v>14</v>
      </c>
      <c r="K4" s="27">
        <f t="shared" ref="K4:K30" si="0">J4*T4</f>
        <v>24.5</v>
      </c>
      <c r="L4" s="27">
        <f t="shared" ref="L4:L30" si="1">(N4-J4)/2</f>
        <v>55</v>
      </c>
      <c r="M4" s="27">
        <f t="shared" ref="M4:M30" si="2">L4*T4</f>
        <v>96.25</v>
      </c>
      <c r="N4" s="27">
        <f t="shared" ref="N4:N30" si="3">IF(MOD(ROUND(ABS(J4*$B$12),0)-J4,2)=0,ROUND(ABS(J4*$B$12),0),ROUND(ABS(J4*$B$12),0)+1)</f>
        <v>124</v>
      </c>
      <c r="O4" s="39">
        <f t="shared" ref="O4:O30" si="4">N4*T4</f>
        <v>217</v>
      </c>
      <c r="P4" s="27">
        <f t="shared" ref="P4:P30" si="5">$B$2/($B$3*2*PI())</f>
        <v>26.899427001447098</v>
      </c>
      <c r="Q4" s="27">
        <f t="shared" ref="Q4:Q30" si="6">L4/J4</f>
        <v>3.9285714285714284</v>
      </c>
      <c r="R4" s="27">
        <f t="shared" ref="R4:R30" si="7">MAX(95*COS($B$8*PI()/180)/J4*(($P$4*1000*$B$14)/($B$11*$B$7*$B$10^2)*(Q4+1)/Q4)^(1/3),1.85*($P$4*1000*$B$14*COS($B$8)^2/($B$11*J4^2*$B$7*$B$9))^(1/3))</f>
        <v>1.6407902140958661</v>
      </c>
      <c r="S4" s="27">
        <f t="shared" ref="S4:S30" si="8">IF(R4&lt;1,1,IF(R4&lt;1.125,1.125,IF(R4&lt;1.375,1.375,IF(R4&lt;1.5,1.5,IF(R4&lt;1.75,1.75,IF(R4&lt;2,2,IF(R4&lt;2.25,2.25,IF(R4&lt;2.5,2.5,IF(R4&lt;2.75,2.75,IF(R4&lt;3,3,IF(R4&lt;3.5,3.5,IF(R4&lt;4,4,"potrebno dodati"))))))))))))</f>
        <v>1.75</v>
      </c>
      <c r="T4" s="27">
        <f t="shared" ref="T4:T30" si="9">S4/COS($B$8*PI()/180)</f>
        <v>1.75</v>
      </c>
      <c r="U4" s="53">
        <f t="shared" ref="U4:U30" si="10">N4/J4+1</f>
        <v>9.8571428571428577</v>
      </c>
      <c r="V4" s="40">
        <v>14</v>
      </c>
      <c r="W4" s="30">
        <f t="shared" ref="W4:W30" ca="1" si="11">V4*AF4</f>
        <v>49</v>
      </c>
      <c r="X4" s="30">
        <f t="shared" ref="X4:X30" ca="1" si="12">(Z4-V4)/2</f>
        <v>22</v>
      </c>
      <c r="Y4" s="30">
        <f t="shared" ref="Y4:Y30" ca="1" si="13">X4*AF4</f>
        <v>77</v>
      </c>
      <c r="Z4" s="30">
        <f t="shared" ref="Z4:Z30" ca="1" si="14">IF(MOD(ROUND(ABS(V4*$C$12),0)-V4,2)=0,ROUND(ABS(V4*$C$12),0),ROUND(ABS(V4*$C$12),0)+1)</f>
        <v>58</v>
      </c>
      <c r="AA4" s="39">
        <f t="shared" ref="AA4:AA30" ca="1" si="15">Z4*AF4</f>
        <v>203</v>
      </c>
      <c r="AB4" s="30">
        <f t="shared" ref="AB4:AB30" ca="1" si="16">INDIRECT("U"&amp;($E$17-10))*P4</f>
        <v>266.65518940564948</v>
      </c>
      <c r="AC4" s="30">
        <f t="shared" ref="AC4:AC30" ca="1" si="17">X4/V4</f>
        <v>1.5714285714285714</v>
      </c>
      <c r="AD4" s="30">
        <f t="shared" ref="AD4:AD30" ca="1" si="18">MAX(95*COS($C$8*PI()/180)/V4*((AB4*1000*$B$14)/($C$11*$C$7*$C$10^2)*(AC4+1)/AC4)^(1/3),1.85*(AB4*1000*$B$14*COS($C$8)^2/($C$11*V4^2*$C$7*$C$9))^(1/3))</f>
        <v>3.4989705584979851</v>
      </c>
      <c r="AE4" s="30">
        <f t="shared" ref="AE4:AE30" ca="1" si="19">IF(AD4&lt;1,1,IF(AD4&lt;1.125,1.125,IF(AD4&lt;1.375,1.375,IF(AD4&lt;1.5,1.5,IF(AD4&lt;1.75,1.75,IF(AD4&lt;2,2,IF(AD4&lt;2.25,2.25,IF(AD4&lt;2.5,2.5,IF(AD4&lt;2.75,2.75,IF(AD4&lt;3,3,IF(AD4&lt;3.5,3.5,IF(AD4&lt;4,4,"potrebno dodati"))))))))))))</f>
        <v>3.5</v>
      </c>
      <c r="AF4" s="47">
        <f t="shared" ref="AF4:AF30" ca="1" si="20">AE4/COS($B$8*PI()/180)</f>
        <v>3.5</v>
      </c>
      <c r="AG4" s="31">
        <f t="shared" ref="AG4:AG30" ca="1" si="21">Z4/V4+1</f>
        <v>5.1428571428571432</v>
      </c>
      <c r="AH4" s="25">
        <f t="shared" ref="AH4:AH30" si="22">$B$15</f>
        <v>240</v>
      </c>
      <c r="AI4" s="25" t="str">
        <f t="shared" ref="AI4:AI30" ca="1" si="23">IF($B$15-2*$B$5-2*AE4*3&gt;O4,O4,"neo1")</f>
        <v>neo1</v>
      </c>
      <c r="AJ4" s="25" t="str">
        <f t="shared" ref="AJ4:AJ30" ca="1" si="24">IF($B$15-2*$B$5*AE4&gt;AA4,AA4,"neo2")</f>
        <v>neo2</v>
      </c>
      <c r="AK4" s="25">
        <f t="shared" ref="AK4:AK30" si="25">L4+2</f>
        <v>57</v>
      </c>
      <c r="AL4" s="25">
        <f t="shared" ref="AL4:AL30" si="26">(J4+L4)*SIN(PI()/$B$11)</f>
        <v>59.755752861126261</v>
      </c>
      <c r="AM4" s="25">
        <f t="shared" ref="AM4:AM30" si="27">IF(AK4&lt;AL4,J4,"ne")</f>
        <v>14</v>
      </c>
      <c r="AN4">
        <f t="shared" ref="AN4:AN30" ca="1" si="28">X4+2</f>
        <v>24</v>
      </c>
      <c r="AO4">
        <f t="shared" ref="AO4:AO30" ca="1" si="29">(V4+X4)*SIN(PI()/$C$11)</f>
        <v>25.45584412271571</v>
      </c>
      <c r="AP4">
        <f t="shared" ref="AP4:AP30" ca="1" si="30">IF(AN4&lt;AO4,V4,"ne")</f>
        <v>14</v>
      </c>
      <c r="AQ4">
        <f t="shared" ref="AQ4:AQ30" si="31">IF(MOD((J4+N4),$B$11)=0,J4,"ne1")</f>
        <v>14</v>
      </c>
      <c r="AR4">
        <f t="shared" ref="AR4:AR30" ca="1" si="32">IF(MOD((V4+Z4),$C$11)=0,V4,"ne1")</f>
        <v>14</v>
      </c>
      <c r="AS4" t="str">
        <f t="shared" ref="AS4:AS30" ca="1" si="33">IF(AND(AI4=O4,AM4=J4,AQ4=J4),1,"ne")</f>
        <v>ne</v>
      </c>
      <c r="AT4" t="str">
        <f t="shared" ref="AT4:AT30" ca="1" si="34">IF(AND(AJ4=AA4,AP4=V4,AR4=V4),1,"ne")</f>
        <v>ne</v>
      </c>
      <c r="AU4">
        <f t="shared" ref="AU4:AU30" ca="1" si="35">$B$15-2*$B$5-2*AE4*3</f>
        <v>205</v>
      </c>
    </row>
    <row r="5" spans="1:47" ht="15.75" thickBot="1" x14ac:dyDescent="0.3">
      <c r="A5" s="32" t="s">
        <v>65</v>
      </c>
      <c r="B5" s="20">
        <v>7</v>
      </c>
      <c r="C5" s="36" t="s">
        <v>7</v>
      </c>
      <c r="F5" s="5"/>
      <c r="H5" s="46"/>
      <c r="J5" s="40">
        <v>15</v>
      </c>
      <c r="K5" s="27">
        <f t="shared" si="0"/>
        <v>26.25</v>
      </c>
      <c r="L5" s="27">
        <f t="shared" si="1"/>
        <v>59</v>
      </c>
      <c r="M5" s="27">
        <f t="shared" si="2"/>
        <v>103.25</v>
      </c>
      <c r="N5" s="27">
        <f t="shared" si="3"/>
        <v>133</v>
      </c>
      <c r="O5" s="39">
        <f t="shared" si="4"/>
        <v>232.75</v>
      </c>
      <c r="P5" s="27">
        <f t="shared" si="5"/>
        <v>26.899427001447098</v>
      </c>
      <c r="Q5" s="27">
        <f t="shared" si="6"/>
        <v>3.9333333333333331</v>
      </c>
      <c r="R5" s="27">
        <f t="shared" si="7"/>
        <v>1.5312787982336609</v>
      </c>
      <c r="S5" s="27">
        <f t="shared" si="8"/>
        <v>1.75</v>
      </c>
      <c r="T5" s="27">
        <f t="shared" si="9"/>
        <v>1.75</v>
      </c>
      <c r="U5" s="53">
        <f t="shared" si="10"/>
        <v>9.8666666666666671</v>
      </c>
      <c r="V5" s="40">
        <v>15</v>
      </c>
      <c r="W5" s="30">
        <f t="shared" ca="1" si="11"/>
        <v>52.5</v>
      </c>
      <c r="X5" s="30">
        <f t="shared" ca="1" si="12"/>
        <v>24</v>
      </c>
      <c r="Y5" s="30">
        <f t="shared" ca="1" si="13"/>
        <v>84</v>
      </c>
      <c r="Z5" s="30">
        <f t="shared" ca="1" si="14"/>
        <v>63</v>
      </c>
      <c r="AA5" s="39">
        <f t="shared" ca="1" si="15"/>
        <v>220.5</v>
      </c>
      <c r="AB5" s="30">
        <f t="shared" ca="1" si="16"/>
        <v>266.65518940564948</v>
      </c>
      <c r="AC5" s="30">
        <f t="shared" ca="1" si="17"/>
        <v>1.6</v>
      </c>
      <c r="AD5" s="30">
        <f t="shared" ca="1" si="18"/>
        <v>3.2581287836273818</v>
      </c>
      <c r="AE5" s="30">
        <f t="shared" ca="1" si="19"/>
        <v>3.5</v>
      </c>
      <c r="AF5" s="47">
        <f t="shared" ca="1" si="20"/>
        <v>3.5</v>
      </c>
      <c r="AG5" s="28">
        <f t="shared" ca="1" si="21"/>
        <v>5.2</v>
      </c>
      <c r="AH5" s="25">
        <f t="shared" si="22"/>
        <v>240</v>
      </c>
      <c r="AI5" s="25" t="str">
        <f t="shared" ca="1" si="23"/>
        <v>neo1</v>
      </c>
      <c r="AJ5" s="25" t="str">
        <f t="shared" ca="1" si="24"/>
        <v>neo2</v>
      </c>
      <c r="AK5">
        <f t="shared" si="25"/>
        <v>61</v>
      </c>
      <c r="AL5">
        <f t="shared" si="26"/>
        <v>64.085879880048452</v>
      </c>
      <c r="AM5">
        <f t="shared" si="27"/>
        <v>15</v>
      </c>
      <c r="AN5">
        <f t="shared" ca="1" si="28"/>
        <v>26</v>
      </c>
      <c r="AO5">
        <f t="shared" ca="1" si="29"/>
        <v>27.577164466275352</v>
      </c>
      <c r="AP5">
        <f t="shared" ca="1" si="30"/>
        <v>15</v>
      </c>
      <c r="AQ5" t="str">
        <f t="shared" si="31"/>
        <v>ne1</v>
      </c>
      <c r="AR5" t="str">
        <f t="shared" ca="1" si="32"/>
        <v>ne1</v>
      </c>
      <c r="AS5" t="str">
        <f t="shared" ca="1" si="33"/>
        <v>ne</v>
      </c>
      <c r="AT5" t="str">
        <f t="shared" ca="1" si="34"/>
        <v>ne</v>
      </c>
      <c r="AU5">
        <f t="shared" ca="1" si="35"/>
        <v>205</v>
      </c>
    </row>
    <row r="6" spans="1:47" ht="15.75" thickBot="1" x14ac:dyDescent="0.3">
      <c r="A6" s="32" t="s">
        <v>40</v>
      </c>
      <c r="B6" s="34" t="s">
        <v>39</v>
      </c>
      <c r="C6" s="72" t="s">
        <v>41</v>
      </c>
      <c r="H6" s="190"/>
      <c r="J6" s="40">
        <v>16</v>
      </c>
      <c r="K6" s="27">
        <f t="shared" si="0"/>
        <v>24</v>
      </c>
      <c r="L6" s="27">
        <f t="shared" si="1"/>
        <v>63</v>
      </c>
      <c r="M6" s="27">
        <f t="shared" si="2"/>
        <v>94.5</v>
      </c>
      <c r="N6" s="27">
        <f t="shared" si="3"/>
        <v>142</v>
      </c>
      <c r="O6" s="39">
        <f t="shared" si="4"/>
        <v>213</v>
      </c>
      <c r="P6" s="27">
        <f t="shared" si="5"/>
        <v>26.899427001447098</v>
      </c>
      <c r="Q6" s="27">
        <f t="shared" si="6"/>
        <v>3.9375</v>
      </c>
      <c r="R6" s="27">
        <f t="shared" si="7"/>
        <v>1.4354712223695676</v>
      </c>
      <c r="S6" s="27">
        <f t="shared" si="8"/>
        <v>1.5</v>
      </c>
      <c r="T6" s="27">
        <f t="shared" si="9"/>
        <v>1.5</v>
      </c>
      <c r="U6" s="53">
        <f t="shared" si="10"/>
        <v>9.875</v>
      </c>
      <c r="V6" s="40">
        <v>16</v>
      </c>
      <c r="W6" s="30">
        <f t="shared" ca="1" si="11"/>
        <v>56</v>
      </c>
      <c r="X6" s="30">
        <f t="shared" ca="1" si="12"/>
        <v>26</v>
      </c>
      <c r="Y6" s="30">
        <f t="shared" ca="1" si="13"/>
        <v>91</v>
      </c>
      <c r="Z6" s="30">
        <f t="shared" ca="1" si="14"/>
        <v>68</v>
      </c>
      <c r="AA6" s="39">
        <f t="shared" ca="1" si="15"/>
        <v>238</v>
      </c>
      <c r="AB6" s="30">
        <f t="shared" ca="1" si="16"/>
        <v>266.65518940564948</v>
      </c>
      <c r="AC6" s="30">
        <f t="shared" ca="1" si="17"/>
        <v>1.625</v>
      </c>
      <c r="AD6" s="30">
        <f t="shared" ca="1" si="18"/>
        <v>3.048459166081789</v>
      </c>
      <c r="AE6" s="30">
        <f t="shared" ca="1" si="19"/>
        <v>3.5</v>
      </c>
      <c r="AF6" s="47">
        <f t="shared" ca="1" si="20"/>
        <v>3.5</v>
      </c>
      <c r="AG6" s="28">
        <f t="shared" ca="1" si="21"/>
        <v>5.25</v>
      </c>
      <c r="AH6" s="25">
        <f t="shared" si="22"/>
        <v>240</v>
      </c>
      <c r="AI6" s="25" t="str">
        <f t="shared" ca="1" si="23"/>
        <v>neo1</v>
      </c>
      <c r="AJ6" s="25" t="str">
        <f t="shared" ca="1" si="24"/>
        <v>neo2</v>
      </c>
      <c r="AK6">
        <f t="shared" si="25"/>
        <v>65</v>
      </c>
      <c r="AL6">
        <f t="shared" si="26"/>
        <v>68.41600689897065</v>
      </c>
      <c r="AM6">
        <f t="shared" si="27"/>
        <v>16</v>
      </c>
      <c r="AN6">
        <f t="shared" ca="1" si="28"/>
        <v>28</v>
      </c>
      <c r="AO6">
        <f t="shared" ca="1" si="29"/>
        <v>29.698484809834994</v>
      </c>
      <c r="AP6">
        <f t="shared" ca="1" si="30"/>
        <v>16</v>
      </c>
      <c r="AQ6" t="str">
        <f t="shared" si="31"/>
        <v>ne1</v>
      </c>
      <c r="AR6">
        <f t="shared" ca="1" si="32"/>
        <v>16</v>
      </c>
      <c r="AS6" t="str">
        <f t="shared" ca="1" si="33"/>
        <v>ne</v>
      </c>
      <c r="AT6" t="str">
        <f t="shared" ca="1" si="34"/>
        <v>ne</v>
      </c>
      <c r="AU6">
        <f t="shared" ca="1" si="35"/>
        <v>205</v>
      </c>
    </row>
    <row r="7" spans="1:47" ht="15.75" thickBot="1" x14ac:dyDescent="0.3">
      <c r="A7" s="32" t="s">
        <v>43</v>
      </c>
      <c r="B7" s="20">
        <v>0.9</v>
      </c>
      <c r="C7" s="24">
        <v>0.9</v>
      </c>
      <c r="J7" s="40">
        <v>17</v>
      </c>
      <c r="K7" s="27">
        <f t="shared" si="0"/>
        <v>23.375</v>
      </c>
      <c r="L7" s="27">
        <f t="shared" si="1"/>
        <v>67</v>
      </c>
      <c r="M7" s="27">
        <f t="shared" si="2"/>
        <v>92.125</v>
      </c>
      <c r="N7" s="27">
        <f t="shared" si="3"/>
        <v>151</v>
      </c>
      <c r="O7" s="39">
        <f t="shared" si="4"/>
        <v>207.625</v>
      </c>
      <c r="P7" s="27">
        <f t="shared" si="5"/>
        <v>26.899427001447098</v>
      </c>
      <c r="Q7" s="27">
        <f t="shared" si="6"/>
        <v>3.9411764705882355</v>
      </c>
      <c r="R7" s="27">
        <f t="shared" si="7"/>
        <v>1.3509466504187266</v>
      </c>
      <c r="S7" s="27">
        <f t="shared" si="8"/>
        <v>1.375</v>
      </c>
      <c r="T7" s="27">
        <f t="shared" si="9"/>
        <v>1.375</v>
      </c>
      <c r="U7" s="53">
        <f t="shared" si="10"/>
        <v>9.882352941176471</v>
      </c>
      <c r="V7" s="40">
        <v>17</v>
      </c>
      <c r="W7" s="30">
        <f t="shared" ca="1" si="11"/>
        <v>51</v>
      </c>
      <c r="X7" s="30">
        <f t="shared" ca="1" si="12"/>
        <v>27</v>
      </c>
      <c r="Y7" s="30">
        <f t="shared" ca="1" si="13"/>
        <v>81</v>
      </c>
      <c r="Z7" s="30">
        <f t="shared" ca="1" si="14"/>
        <v>71</v>
      </c>
      <c r="AA7" s="39">
        <f t="shared" ca="1" si="15"/>
        <v>213</v>
      </c>
      <c r="AB7" s="30">
        <f t="shared" ca="1" si="16"/>
        <v>266.65518940564948</v>
      </c>
      <c r="AC7" s="30">
        <f t="shared" ca="1" si="17"/>
        <v>1.588235294117647</v>
      </c>
      <c r="AD7" s="30">
        <f t="shared" ca="1" si="18"/>
        <v>2.8775470493480162</v>
      </c>
      <c r="AE7" s="30">
        <f t="shared" ca="1" si="19"/>
        <v>3</v>
      </c>
      <c r="AF7" s="47">
        <f t="shared" ca="1" si="20"/>
        <v>3</v>
      </c>
      <c r="AG7" s="28">
        <f t="shared" ca="1" si="21"/>
        <v>5.1764705882352944</v>
      </c>
      <c r="AH7" s="25">
        <f t="shared" si="22"/>
        <v>240</v>
      </c>
      <c r="AI7" s="25">
        <f t="shared" ca="1" si="23"/>
        <v>207.625</v>
      </c>
      <c r="AJ7" s="25" t="str">
        <f t="shared" ca="1" si="24"/>
        <v>neo2</v>
      </c>
      <c r="AK7">
        <f t="shared" si="25"/>
        <v>69</v>
      </c>
      <c r="AL7">
        <f t="shared" si="26"/>
        <v>72.746133917892848</v>
      </c>
      <c r="AM7">
        <f t="shared" si="27"/>
        <v>17</v>
      </c>
      <c r="AN7">
        <f t="shared" ca="1" si="28"/>
        <v>29</v>
      </c>
      <c r="AO7">
        <f t="shared" ca="1" si="29"/>
        <v>31.112698372208087</v>
      </c>
      <c r="AP7">
        <f t="shared" ca="1" si="30"/>
        <v>17</v>
      </c>
      <c r="AQ7">
        <f t="shared" si="31"/>
        <v>17</v>
      </c>
      <c r="AR7">
        <f t="shared" ca="1" si="32"/>
        <v>17</v>
      </c>
      <c r="AS7">
        <f t="shared" ca="1" si="33"/>
        <v>1</v>
      </c>
      <c r="AT7" t="str">
        <f t="shared" ca="1" si="34"/>
        <v>ne</v>
      </c>
      <c r="AU7">
        <f t="shared" ca="1" si="35"/>
        <v>208</v>
      </c>
    </row>
    <row r="8" spans="1:47" x14ac:dyDescent="0.25">
      <c r="A8" s="32" t="s">
        <v>45</v>
      </c>
      <c r="B8" s="193">
        <v>0</v>
      </c>
      <c r="C8" s="193">
        <v>0</v>
      </c>
      <c r="D8" s="182" t="s">
        <v>54</v>
      </c>
      <c r="J8" s="40">
        <v>18</v>
      </c>
      <c r="K8" s="27">
        <f t="shared" si="0"/>
        <v>24.75</v>
      </c>
      <c r="L8" s="27">
        <f t="shared" si="1"/>
        <v>71</v>
      </c>
      <c r="M8" s="27">
        <f t="shared" si="2"/>
        <v>97.625</v>
      </c>
      <c r="N8" s="27">
        <f t="shared" si="3"/>
        <v>160</v>
      </c>
      <c r="O8" s="39">
        <f t="shared" si="4"/>
        <v>220</v>
      </c>
      <c r="P8" s="27">
        <f t="shared" si="5"/>
        <v>26.899427001447098</v>
      </c>
      <c r="Q8" s="27">
        <f t="shared" si="6"/>
        <v>3.9444444444444446</v>
      </c>
      <c r="R8" s="27">
        <f t="shared" si="7"/>
        <v>1.2758227438743237</v>
      </c>
      <c r="S8" s="27">
        <f t="shared" si="8"/>
        <v>1.375</v>
      </c>
      <c r="T8" s="27">
        <f t="shared" si="9"/>
        <v>1.375</v>
      </c>
      <c r="U8" s="53">
        <f t="shared" si="10"/>
        <v>9.8888888888888893</v>
      </c>
      <c r="V8" s="40">
        <v>18</v>
      </c>
      <c r="W8" s="30">
        <f t="shared" ca="1" si="11"/>
        <v>49.5</v>
      </c>
      <c r="X8" s="30">
        <f t="shared" ca="1" si="12"/>
        <v>29</v>
      </c>
      <c r="Y8" s="30">
        <f t="shared" ca="1" si="13"/>
        <v>79.75</v>
      </c>
      <c r="Z8" s="30">
        <f t="shared" ca="1" si="14"/>
        <v>76</v>
      </c>
      <c r="AA8" s="39">
        <f t="shared" ca="1" si="15"/>
        <v>209</v>
      </c>
      <c r="AB8" s="30">
        <f t="shared" ca="1" si="16"/>
        <v>266.65518940564948</v>
      </c>
      <c r="AC8" s="30">
        <f t="shared" ca="1" si="17"/>
        <v>1.6111111111111112</v>
      </c>
      <c r="AD8" s="30">
        <f t="shared" ca="1" si="18"/>
        <v>2.7127045685940248</v>
      </c>
      <c r="AE8" s="30">
        <f t="shared" ca="1" si="19"/>
        <v>2.75</v>
      </c>
      <c r="AF8" s="47">
        <f t="shared" ca="1" si="20"/>
        <v>2.75</v>
      </c>
      <c r="AG8" s="28">
        <f t="shared" ca="1" si="21"/>
        <v>5.2222222222222223</v>
      </c>
      <c r="AH8" s="25">
        <f t="shared" si="22"/>
        <v>240</v>
      </c>
      <c r="AI8" s="25" t="str">
        <f t="shared" ca="1" si="23"/>
        <v>neo1</v>
      </c>
      <c r="AJ8" s="25" t="str">
        <f t="shared" ca="1" si="24"/>
        <v>neo2</v>
      </c>
      <c r="AK8">
        <f t="shared" si="25"/>
        <v>73</v>
      </c>
      <c r="AL8">
        <f t="shared" si="26"/>
        <v>77.076260936815032</v>
      </c>
      <c r="AM8">
        <f t="shared" si="27"/>
        <v>18</v>
      </c>
      <c r="AN8">
        <f t="shared" ca="1" si="28"/>
        <v>31</v>
      </c>
      <c r="AO8">
        <f t="shared" ca="1" si="29"/>
        <v>33.234018715767732</v>
      </c>
      <c r="AP8">
        <f t="shared" ca="1" si="30"/>
        <v>18</v>
      </c>
      <c r="AQ8" t="str">
        <f t="shared" si="31"/>
        <v>ne1</v>
      </c>
      <c r="AR8" t="str">
        <f t="shared" ca="1" si="32"/>
        <v>ne1</v>
      </c>
      <c r="AS8" t="str">
        <f t="shared" ca="1" si="33"/>
        <v>ne</v>
      </c>
      <c r="AT8" t="str">
        <f t="shared" ca="1" si="34"/>
        <v>ne</v>
      </c>
      <c r="AU8">
        <f t="shared" ca="1" si="35"/>
        <v>209.5</v>
      </c>
    </row>
    <row r="9" spans="1:47" ht="15.75" x14ac:dyDescent="0.25">
      <c r="A9" s="37" t="s">
        <v>46</v>
      </c>
      <c r="B9" s="20">
        <v>270</v>
      </c>
      <c r="C9" s="20">
        <v>270</v>
      </c>
      <c r="D9" s="183" t="s">
        <v>53</v>
      </c>
      <c r="E9">
        <v>985</v>
      </c>
      <c r="J9" s="40">
        <v>19</v>
      </c>
      <c r="K9" s="27">
        <f t="shared" si="0"/>
        <v>26.125</v>
      </c>
      <c r="L9" s="27">
        <f t="shared" si="1"/>
        <v>75</v>
      </c>
      <c r="M9" s="27">
        <f t="shared" si="2"/>
        <v>103.125</v>
      </c>
      <c r="N9" s="27">
        <f t="shared" si="3"/>
        <v>169</v>
      </c>
      <c r="O9" s="39">
        <f t="shared" si="4"/>
        <v>232.375</v>
      </c>
      <c r="P9" s="27">
        <f t="shared" si="5"/>
        <v>26.899427001447098</v>
      </c>
      <c r="Q9" s="27">
        <f t="shared" si="6"/>
        <v>3.9473684210526314</v>
      </c>
      <c r="R9" s="27">
        <f t="shared" si="7"/>
        <v>1.2086138171317642</v>
      </c>
      <c r="S9" s="27">
        <f t="shared" si="8"/>
        <v>1.375</v>
      </c>
      <c r="T9" s="27">
        <f t="shared" si="9"/>
        <v>1.375</v>
      </c>
      <c r="U9" s="53">
        <f t="shared" si="10"/>
        <v>9.8947368421052637</v>
      </c>
      <c r="V9" s="40">
        <v>19</v>
      </c>
      <c r="W9" s="30">
        <f t="shared" ca="1" si="11"/>
        <v>52.25</v>
      </c>
      <c r="X9" s="30">
        <f t="shared" ca="1" si="12"/>
        <v>30</v>
      </c>
      <c r="Y9" s="30">
        <f t="shared" ca="1" si="13"/>
        <v>82.5</v>
      </c>
      <c r="Z9" s="30">
        <f t="shared" ca="1" si="14"/>
        <v>79</v>
      </c>
      <c r="AA9" s="39">
        <f t="shared" ca="1" si="15"/>
        <v>217.25</v>
      </c>
      <c r="AB9" s="30">
        <f t="shared" ca="1" si="16"/>
        <v>266.65518940564948</v>
      </c>
      <c r="AC9" s="30">
        <f t="shared" ca="1" si="17"/>
        <v>1.5789473684210527</v>
      </c>
      <c r="AD9" s="30">
        <f t="shared" ca="1" si="18"/>
        <v>2.5765963745857907</v>
      </c>
      <c r="AE9" s="30">
        <f t="shared" ca="1" si="19"/>
        <v>2.75</v>
      </c>
      <c r="AF9" s="47">
        <f t="shared" ca="1" si="20"/>
        <v>2.75</v>
      </c>
      <c r="AG9" s="28">
        <f t="shared" ca="1" si="21"/>
        <v>5.1578947368421053</v>
      </c>
      <c r="AH9" s="25">
        <f t="shared" si="22"/>
        <v>240</v>
      </c>
      <c r="AI9" s="25" t="str">
        <f t="shared" ca="1" si="23"/>
        <v>neo1</v>
      </c>
      <c r="AJ9" s="25" t="str">
        <f t="shared" ca="1" si="24"/>
        <v>neo2</v>
      </c>
      <c r="AK9">
        <f t="shared" si="25"/>
        <v>77</v>
      </c>
      <c r="AL9">
        <f t="shared" si="26"/>
        <v>81.40638795573723</v>
      </c>
      <c r="AM9">
        <f t="shared" si="27"/>
        <v>19</v>
      </c>
      <c r="AN9">
        <f t="shared" ca="1" si="28"/>
        <v>32</v>
      </c>
      <c r="AO9">
        <f t="shared" ca="1" si="29"/>
        <v>34.648232278140824</v>
      </c>
      <c r="AP9">
        <f t="shared" ca="1" si="30"/>
        <v>19</v>
      </c>
      <c r="AQ9" t="str">
        <f t="shared" si="31"/>
        <v>ne1</v>
      </c>
      <c r="AR9" t="str">
        <f t="shared" ca="1" si="32"/>
        <v>ne1</v>
      </c>
      <c r="AS9" t="str">
        <f t="shared" ca="1" si="33"/>
        <v>ne</v>
      </c>
      <c r="AT9" t="str">
        <f t="shared" ca="1" si="34"/>
        <v>ne</v>
      </c>
      <c r="AU9">
        <f t="shared" ca="1" si="35"/>
        <v>209.5</v>
      </c>
    </row>
    <row r="10" spans="1:47" ht="16.5" thickBot="1" x14ac:dyDescent="0.3">
      <c r="A10" s="37" t="s">
        <v>47</v>
      </c>
      <c r="B10" s="20">
        <v>1030</v>
      </c>
      <c r="C10" s="20">
        <v>1030</v>
      </c>
      <c r="D10" s="184" t="s">
        <v>53</v>
      </c>
      <c r="J10" s="40">
        <v>20</v>
      </c>
      <c r="K10" s="27">
        <f t="shared" si="0"/>
        <v>27.5</v>
      </c>
      <c r="L10" s="27">
        <f t="shared" si="1"/>
        <v>79</v>
      </c>
      <c r="M10" s="27">
        <f t="shared" si="2"/>
        <v>108.625</v>
      </c>
      <c r="N10" s="27">
        <f t="shared" si="3"/>
        <v>178</v>
      </c>
      <c r="O10" s="39">
        <f t="shared" si="4"/>
        <v>244.75</v>
      </c>
      <c r="P10" s="27">
        <f t="shared" si="5"/>
        <v>26.899427001447098</v>
      </c>
      <c r="Q10" s="27">
        <f t="shared" si="6"/>
        <v>3.95</v>
      </c>
      <c r="R10" s="27">
        <f t="shared" si="7"/>
        <v>1.1481315850834617</v>
      </c>
      <c r="S10" s="27">
        <f t="shared" si="8"/>
        <v>1.375</v>
      </c>
      <c r="T10" s="27">
        <f t="shared" si="9"/>
        <v>1.375</v>
      </c>
      <c r="U10" s="53">
        <f t="shared" si="10"/>
        <v>9.9</v>
      </c>
      <c r="V10" s="40">
        <v>20</v>
      </c>
      <c r="W10" s="30">
        <f t="shared" ca="1" si="11"/>
        <v>50</v>
      </c>
      <c r="X10" s="30">
        <f t="shared" ca="1" si="12"/>
        <v>32</v>
      </c>
      <c r="Y10" s="30">
        <f t="shared" ca="1" si="13"/>
        <v>80</v>
      </c>
      <c r="Z10" s="30">
        <f t="shared" ca="1" si="14"/>
        <v>84</v>
      </c>
      <c r="AA10" s="39">
        <f t="shared" ca="1" si="15"/>
        <v>210</v>
      </c>
      <c r="AB10" s="30">
        <f t="shared" ca="1" si="16"/>
        <v>266.65518940564948</v>
      </c>
      <c r="AC10" s="30">
        <f t="shared" ca="1" si="17"/>
        <v>1.6</v>
      </c>
      <c r="AD10" s="30">
        <f t="shared" ca="1" si="18"/>
        <v>2.4435965877205366</v>
      </c>
      <c r="AE10" s="30">
        <f t="shared" ca="1" si="19"/>
        <v>2.5</v>
      </c>
      <c r="AF10" s="47">
        <f t="shared" ca="1" si="20"/>
        <v>2.5</v>
      </c>
      <c r="AG10" s="28">
        <f t="shared" ca="1" si="21"/>
        <v>5.2</v>
      </c>
      <c r="AH10" s="25">
        <f t="shared" si="22"/>
        <v>240</v>
      </c>
      <c r="AI10" s="25" t="str">
        <f t="shared" ca="1" si="23"/>
        <v>neo1</v>
      </c>
      <c r="AJ10" s="25" t="str">
        <f t="shared" ca="1" si="24"/>
        <v>neo2</v>
      </c>
      <c r="AK10">
        <f t="shared" si="25"/>
        <v>81</v>
      </c>
      <c r="AL10">
        <f t="shared" si="26"/>
        <v>85.736514974659414</v>
      </c>
      <c r="AM10">
        <f t="shared" si="27"/>
        <v>20</v>
      </c>
      <c r="AN10">
        <f t="shared" ca="1" si="28"/>
        <v>34</v>
      </c>
      <c r="AO10">
        <f t="shared" ca="1" si="29"/>
        <v>36.76955262170047</v>
      </c>
      <c r="AP10">
        <f t="shared" ca="1" si="30"/>
        <v>20</v>
      </c>
      <c r="AQ10">
        <f t="shared" si="31"/>
        <v>20</v>
      </c>
      <c r="AR10">
        <f t="shared" ca="1" si="32"/>
        <v>20</v>
      </c>
      <c r="AS10" t="str">
        <f t="shared" ca="1" si="33"/>
        <v>ne</v>
      </c>
      <c r="AT10" t="str">
        <f t="shared" ca="1" si="34"/>
        <v>ne</v>
      </c>
      <c r="AU10">
        <f t="shared" ca="1" si="35"/>
        <v>211</v>
      </c>
    </row>
    <row r="11" spans="1:47" x14ac:dyDescent="0.25">
      <c r="A11" s="32" t="s">
        <v>78</v>
      </c>
      <c r="B11" s="20">
        <v>3</v>
      </c>
      <c r="C11" s="24">
        <v>4</v>
      </c>
      <c r="J11" s="40">
        <v>21</v>
      </c>
      <c r="K11" s="27">
        <f t="shared" si="0"/>
        <v>23.625</v>
      </c>
      <c r="L11" s="27">
        <f t="shared" si="1"/>
        <v>83</v>
      </c>
      <c r="M11" s="27">
        <f t="shared" si="2"/>
        <v>93.375</v>
      </c>
      <c r="N11" s="27">
        <f t="shared" si="3"/>
        <v>187</v>
      </c>
      <c r="O11" s="39">
        <f t="shared" si="4"/>
        <v>210.375</v>
      </c>
      <c r="P11" s="27">
        <f t="shared" si="5"/>
        <v>26.899427001447098</v>
      </c>
      <c r="Q11" s="27">
        <f t="shared" si="6"/>
        <v>3.9523809523809526</v>
      </c>
      <c r="R11" s="27">
        <f t="shared" si="7"/>
        <v>1.0934142930830089</v>
      </c>
      <c r="S11" s="27">
        <f t="shared" si="8"/>
        <v>1.125</v>
      </c>
      <c r="T11" s="27">
        <f t="shared" si="9"/>
        <v>1.125</v>
      </c>
      <c r="U11" s="53">
        <f t="shared" si="10"/>
        <v>9.9047619047619051</v>
      </c>
      <c r="V11" s="40">
        <v>21</v>
      </c>
      <c r="W11" s="30">
        <f t="shared" ca="1" si="11"/>
        <v>52.5</v>
      </c>
      <c r="X11" s="30">
        <f t="shared" ca="1" si="12"/>
        <v>34</v>
      </c>
      <c r="Y11" s="30">
        <f t="shared" ca="1" si="13"/>
        <v>85</v>
      </c>
      <c r="Z11" s="30">
        <f t="shared" ca="1" si="14"/>
        <v>89</v>
      </c>
      <c r="AA11" s="39">
        <f t="shared" ca="1" si="15"/>
        <v>222.5</v>
      </c>
      <c r="AB11" s="30">
        <f t="shared" ca="1" si="16"/>
        <v>266.65518940564948</v>
      </c>
      <c r="AC11" s="30">
        <f t="shared" ca="1" si="17"/>
        <v>1.6190476190476191</v>
      </c>
      <c r="AD11" s="30">
        <f t="shared" ca="1" si="18"/>
        <v>2.3237193796046611</v>
      </c>
      <c r="AE11" s="30">
        <f t="shared" ca="1" si="19"/>
        <v>2.5</v>
      </c>
      <c r="AF11" s="47">
        <f t="shared" ca="1" si="20"/>
        <v>2.5</v>
      </c>
      <c r="AG11" s="28">
        <f t="shared" ca="1" si="21"/>
        <v>5.2380952380952381</v>
      </c>
      <c r="AH11" s="25">
        <f t="shared" si="22"/>
        <v>240</v>
      </c>
      <c r="AI11" s="25">
        <f t="shared" ca="1" si="23"/>
        <v>210.375</v>
      </c>
      <c r="AJ11" s="25" t="str">
        <f t="shared" ca="1" si="24"/>
        <v>neo2</v>
      </c>
      <c r="AK11">
        <f t="shared" si="25"/>
        <v>85</v>
      </c>
      <c r="AL11">
        <f t="shared" si="26"/>
        <v>90.066641993581612</v>
      </c>
      <c r="AM11">
        <f t="shared" si="27"/>
        <v>21</v>
      </c>
      <c r="AN11">
        <f t="shared" ca="1" si="28"/>
        <v>36</v>
      </c>
      <c r="AO11">
        <f t="shared" ca="1" si="29"/>
        <v>38.890872965260108</v>
      </c>
      <c r="AP11">
        <f t="shared" ca="1" si="30"/>
        <v>21</v>
      </c>
      <c r="AQ11" t="str">
        <f t="shared" si="31"/>
        <v>ne1</v>
      </c>
      <c r="AR11" t="str">
        <f t="shared" ca="1" si="32"/>
        <v>ne1</v>
      </c>
      <c r="AS11" t="str">
        <f t="shared" ca="1" si="33"/>
        <v>ne</v>
      </c>
      <c r="AT11" t="str">
        <f t="shared" ca="1" si="34"/>
        <v>ne</v>
      </c>
      <c r="AU11">
        <f t="shared" ca="1" si="35"/>
        <v>211</v>
      </c>
    </row>
    <row r="12" spans="1:47" x14ac:dyDescent="0.25">
      <c r="A12" s="34" t="s">
        <v>17</v>
      </c>
      <c r="B12" s="185">
        <f>-(B13-1)</f>
        <v>-8.85</v>
      </c>
      <c r="C12" s="188">
        <f ca="1">-C13+1</f>
        <v>-4.1759960180971794</v>
      </c>
      <c r="J12" s="40">
        <v>22</v>
      </c>
      <c r="K12" s="27">
        <f t="shared" si="0"/>
        <v>24.75</v>
      </c>
      <c r="L12" s="27">
        <f t="shared" si="1"/>
        <v>87</v>
      </c>
      <c r="M12" s="27">
        <f t="shared" si="2"/>
        <v>97.875</v>
      </c>
      <c r="N12" s="27">
        <f t="shared" si="3"/>
        <v>196</v>
      </c>
      <c r="O12" s="39">
        <f t="shared" si="4"/>
        <v>220.5</v>
      </c>
      <c r="P12" s="27">
        <f t="shared" si="5"/>
        <v>26.899427001447098</v>
      </c>
      <c r="Q12" s="27">
        <f t="shared" si="6"/>
        <v>3.9545454545454546</v>
      </c>
      <c r="R12" s="27">
        <f t="shared" si="7"/>
        <v>1.0436751909918494</v>
      </c>
      <c r="S12" s="27">
        <f t="shared" si="8"/>
        <v>1.125</v>
      </c>
      <c r="T12" s="27">
        <f t="shared" si="9"/>
        <v>1.125</v>
      </c>
      <c r="U12" s="53">
        <f t="shared" si="10"/>
        <v>9.9090909090909083</v>
      </c>
      <c r="V12" s="40">
        <v>22</v>
      </c>
      <c r="W12" s="30">
        <f t="shared" ca="1" si="11"/>
        <v>49.5</v>
      </c>
      <c r="X12" s="30">
        <f t="shared" ca="1" si="12"/>
        <v>35</v>
      </c>
      <c r="Y12" s="30">
        <f t="shared" ca="1" si="13"/>
        <v>78.75</v>
      </c>
      <c r="Z12" s="30">
        <f t="shared" ca="1" si="14"/>
        <v>92</v>
      </c>
      <c r="AA12" s="39">
        <f t="shared" ca="1" si="15"/>
        <v>207</v>
      </c>
      <c r="AB12" s="30">
        <f t="shared" ca="1" si="16"/>
        <v>266.65518940564948</v>
      </c>
      <c r="AC12" s="30">
        <f t="shared" ca="1" si="17"/>
        <v>1.5909090909090908</v>
      </c>
      <c r="AD12" s="30">
        <f t="shared" ca="1" si="18"/>
        <v>2.2230776895292825</v>
      </c>
      <c r="AE12" s="30">
        <f t="shared" ca="1" si="19"/>
        <v>2.25</v>
      </c>
      <c r="AF12" s="47">
        <f t="shared" ca="1" si="20"/>
        <v>2.25</v>
      </c>
      <c r="AG12" s="28">
        <f t="shared" ca="1" si="21"/>
        <v>5.1818181818181817</v>
      </c>
      <c r="AH12" s="25">
        <f t="shared" si="22"/>
        <v>240</v>
      </c>
      <c r="AI12" s="25" t="str">
        <f t="shared" ca="1" si="23"/>
        <v>neo1</v>
      </c>
      <c r="AJ12" s="25">
        <f t="shared" ca="1" si="24"/>
        <v>207</v>
      </c>
      <c r="AK12">
        <f t="shared" si="25"/>
        <v>89</v>
      </c>
      <c r="AL12">
        <f t="shared" si="26"/>
        <v>94.39676901250381</v>
      </c>
      <c r="AM12">
        <f t="shared" si="27"/>
        <v>22</v>
      </c>
      <c r="AN12">
        <f t="shared" ca="1" si="28"/>
        <v>37</v>
      </c>
      <c r="AO12">
        <f t="shared" ca="1" si="29"/>
        <v>40.305086527633208</v>
      </c>
      <c r="AP12">
        <f t="shared" ca="1" si="30"/>
        <v>22</v>
      </c>
      <c r="AQ12" t="str">
        <f t="shared" si="31"/>
        <v>ne1</v>
      </c>
      <c r="AR12" t="str">
        <f t="shared" ca="1" si="32"/>
        <v>ne1</v>
      </c>
      <c r="AS12" t="str">
        <f t="shared" ca="1" si="33"/>
        <v>ne</v>
      </c>
      <c r="AT12" t="str">
        <f t="shared" ca="1" si="34"/>
        <v>ne</v>
      </c>
      <c r="AU12">
        <f t="shared" ca="1" si="35"/>
        <v>212.5</v>
      </c>
    </row>
    <row r="13" spans="1:47" ht="15.75" thickBot="1" x14ac:dyDescent="0.3">
      <c r="A13" s="34" t="s">
        <v>18</v>
      </c>
      <c r="B13" s="185">
        <f>E9/100</f>
        <v>9.85</v>
      </c>
      <c r="C13" s="189">
        <f ca="1">B17/B13</f>
        <v>5.1759960180971794</v>
      </c>
      <c r="J13" s="40">
        <v>23</v>
      </c>
      <c r="K13" s="27">
        <f t="shared" si="0"/>
        <v>23</v>
      </c>
      <c r="L13" s="27">
        <f t="shared" si="1"/>
        <v>91</v>
      </c>
      <c r="M13" s="27">
        <f t="shared" si="2"/>
        <v>91</v>
      </c>
      <c r="N13" s="27">
        <f t="shared" si="3"/>
        <v>205</v>
      </c>
      <c r="O13" s="39">
        <f t="shared" si="4"/>
        <v>205</v>
      </c>
      <c r="P13" s="27">
        <f t="shared" si="5"/>
        <v>26.899427001447098</v>
      </c>
      <c r="Q13" s="27">
        <f t="shared" si="6"/>
        <v>3.9565217391304346</v>
      </c>
      <c r="R13" s="27">
        <f t="shared" si="7"/>
        <v>0.99826445930547758</v>
      </c>
      <c r="S13" s="27">
        <f t="shared" si="8"/>
        <v>1</v>
      </c>
      <c r="T13" s="27">
        <f t="shared" si="9"/>
        <v>1</v>
      </c>
      <c r="U13" s="53">
        <f t="shared" si="10"/>
        <v>9.9130434782608692</v>
      </c>
      <c r="V13" s="40">
        <v>23</v>
      </c>
      <c r="W13" s="30">
        <f t="shared" ca="1" si="11"/>
        <v>51.75</v>
      </c>
      <c r="X13" s="30">
        <f t="shared" ca="1" si="12"/>
        <v>37</v>
      </c>
      <c r="Y13" s="30">
        <f t="shared" ca="1" si="13"/>
        <v>83.25</v>
      </c>
      <c r="Z13" s="30">
        <f t="shared" ca="1" si="14"/>
        <v>97</v>
      </c>
      <c r="AA13" s="39">
        <f t="shared" ca="1" si="15"/>
        <v>218.25</v>
      </c>
      <c r="AB13" s="30">
        <f t="shared" ca="1" si="16"/>
        <v>266.65518940564948</v>
      </c>
      <c r="AC13" s="30">
        <f t="shared" ca="1" si="17"/>
        <v>1.6086956521739131</v>
      </c>
      <c r="AD13" s="30">
        <f t="shared" ca="1" si="18"/>
        <v>2.1233930423455205</v>
      </c>
      <c r="AE13" s="30">
        <f t="shared" ca="1" si="19"/>
        <v>2.25</v>
      </c>
      <c r="AF13" s="47">
        <f t="shared" ca="1" si="20"/>
        <v>2.25</v>
      </c>
      <c r="AG13" s="28">
        <f t="shared" ca="1" si="21"/>
        <v>5.2173913043478262</v>
      </c>
      <c r="AH13" s="25">
        <f t="shared" si="22"/>
        <v>240</v>
      </c>
      <c r="AI13" s="25">
        <f t="shared" ca="1" si="23"/>
        <v>205</v>
      </c>
      <c r="AJ13" s="25" t="str">
        <f t="shared" ca="1" si="24"/>
        <v>neo2</v>
      </c>
      <c r="AK13">
        <f t="shared" si="25"/>
        <v>93</v>
      </c>
      <c r="AL13">
        <f t="shared" si="26"/>
        <v>98.726896031425994</v>
      </c>
      <c r="AM13">
        <f t="shared" si="27"/>
        <v>23</v>
      </c>
      <c r="AN13">
        <f t="shared" ca="1" si="28"/>
        <v>39</v>
      </c>
      <c r="AO13">
        <f t="shared" ca="1" si="29"/>
        <v>42.426406871192846</v>
      </c>
      <c r="AP13">
        <f t="shared" ca="1" si="30"/>
        <v>23</v>
      </c>
      <c r="AQ13">
        <f t="shared" si="31"/>
        <v>23</v>
      </c>
      <c r="AR13">
        <f t="shared" ca="1" si="32"/>
        <v>23</v>
      </c>
      <c r="AS13">
        <f t="shared" ca="1" si="33"/>
        <v>1</v>
      </c>
      <c r="AT13" t="str">
        <f t="shared" ca="1" si="34"/>
        <v>ne</v>
      </c>
      <c r="AU13">
        <f t="shared" ca="1" si="35"/>
        <v>212.5</v>
      </c>
    </row>
    <row r="14" spans="1:47" ht="15.75" thickBot="1" x14ac:dyDescent="0.3">
      <c r="A14" s="38" t="s">
        <v>49</v>
      </c>
      <c r="B14" s="186">
        <v>1.2</v>
      </c>
      <c r="D14" s="25"/>
      <c r="E14" s="212" t="s">
        <v>80</v>
      </c>
      <c r="F14" s="213"/>
      <c r="G14" s="213"/>
      <c r="H14" s="214"/>
      <c r="J14" s="40">
        <v>24</v>
      </c>
      <c r="K14" s="27">
        <f t="shared" si="0"/>
        <v>24</v>
      </c>
      <c r="L14" s="27">
        <f t="shared" si="1"/>
        <v>94</v>
      </c>
      <c r="M14" s="27">
        <f t="shared" si="2"/>
        <v>94</v>
      </c>
      <c r="N14" s="27">
        <f t="shared" si="3"/>
        <v>212</v>
      </c>
      <c r="O14" s="39">
        <f t="shared" si="4"/>
        <v>212</v>
      </c>
      <c r="P14" s="27">
        <f t="shared" si="5"/>
        <v>26.899427001447098</v>
      </c>
      <c r="Q14" s="27">
        <f t="shared" si="6"/>
        <v>3.9166666666666665</v>
      </c>
      <c r="R14" s="27">
        <f t="shared" si="7"/>
        <v>0.95732434211294026</v>
      </c>
      <c r="S14" s="27">
        <f t="shared" si="8"/>
        <v>1</v>
      </c>
      <c r="T14" s="27">
        <f t="shared" si="9"/>
        <v>1</v>
      </c>
      <c r="U14" s="53">
        <f t="shared" si="10"/>
        <v>9.8333333333333339</v>
      </c>
      <c r="V14" s="40">
        <v>24</v>
      </c>
      <c r="W14" s="30">
        <f t="shared" ca="1" si="11"/>
        <v>54</v>
      </c>
      <c r="X14" s="30">
        <f t="shared" ca="1" si="12"/>
        <v>38</v>
      </c>
      <c r="Y14" s="30">
        <f t="shared" ca="1" si="13"/>
        <v>85.5</v>
      </c>
      <c r="Z14" s="30">
        <f t="shared" ca="1" si="14"/>
        <v>100</v>
      </c>
      <c r="AA14" s="39">
        <f t="shared" ca="1" si="15"/>
        <v>225</v>
      </c>
      <c r="AB14" s="30">
        <f t="shared" ca="1" si="16"/>
        <v>266.65518940564948</v>
      </c>
      <c r="AC14" s="30">
        <f t="shared" ca="1" si="17"/>
        <v>1.5833333333333333</v>
      </c>
      <c r="AD14" s="30">
        <f t="shared" ca="1" si="18"/>
        <v>2.0390748738019697</v>
      </c>
      <c r="AE14" s="30">
        <f t="shared" ca="1" si="19"/>
        <v>2.25</v>
      </c>
      <c r="AF14" s="47">
        <f t="shared" ca="1" si="20"/>
        <v>2.25</v>
      </c>
      <c r="AG14" s="28">
        <f t="shared" ca="1" si="21"/>
        <v>5.166666666666667</v>
      </c>
      <c r="AH14" s="25">
        <f t="shared" si="22"/>
        <v>240</v>
      </c>
      <c r="AI14" s="25">
        <f t="shared" ca="1" si="23"/>
        <v>212</v>
      </c>
      <c r="AJ14" s="25" t="str">
        <f t="shared" ca="1" si="24"/>
        <v>neo2</v>
      </c>
      <c r="AK14">
        <f t="shared" si="25"/>
        <v>96</v>
      </c>
      <c r="AL14">
        <f t="shared" si="26"/>
        <v>102.19099764656376</v>
      </c>
      <c r="AM14">
        <f t="shared" si="27"/>
        <v>24</v>
      </c>
      <c r="AN14">
        <f t="shared" ca="1" si="28"/>
        <v>40</v>
      </c>
      <c r="AO14">
        <f t="shared" ca="1" si="29"/>
        <v>43.840620433565945</v>
      </c>
      <c r="AP14">
        <f t="shared" ca="1" si="30"/>
        <v>24</v>
      </c>
      <c r="AQ14" t="str">
        <f t="shared" si="31"/>
        <v>ne1</v>
      </c>
      <c r="AR14">
        <f t="shared" ca="1" si="32"/>
        <v>24</v>
      </c>
      <c r="AS14" t="str">
        <f t="shared" ca="1" si="33"/>
        <v>ne</v>
      </c>
      <c r="AT14" t="str">
        <f t="shared" ca="1" si="34"/>
        <v>ne</v>
      </c>
      <c r="AU14">
        <f t="shared" ca="1" si="35"/>
        <v>212.5</v>
      </c>
    </row>
    <row r="15" spans="1:47" x14ac:dyDescent="0.25">
      <c r="A15" s="32" t="s">
        <v>62</v>
      </c>
      <c r="B15" s="71">
        <v>240</v>
      </c>
      <c r="D15" s="25"/>
      <c r="E15" s="200" t="s">
        <v>82</v>
      </c>
      <c r="F15" s="201"/>
      <c r="G15" s="202" t="s">
        <v>66</v>
      </c>
      <c r="H15" s="204" t="s">
        <v>81</v>
      </c>
      <c r="J15" s="40">
        <v>25</v>
      </c>
      <c r="K15" s="27">
        <f t="shared" si="0"/>
        <v>25</v>
      </c>
      <c r="L15" s="27">
        <f t="shared" si="1"/>
        <v>98</v>
      </c>
      <c r="M15" s="27">
        <f t="shared" si="2"/>
        <v>98</v>
      </c>
      <c r="N15" s="27">
        <f t="shared" si="3"/>
        <v>221</v>
      </c>
      <c r="O15" s="39">
        <f t="shared" si="4"/>
        <v>221</v>
      </c>
      <c r="P15" s="27">
        <f t="shared" si="5"/>
        <v>26.899427001447098</v>
      </c>
      <c r="Q15" s="27">
        <f t="shared" si="6"/>
        <v>3.92</v>
      </c>
      <c r="R15" s="27">
        <f t="shared" si="7"/>
        <v>0.91897838305105384</v>
      </c>
      <c r="S15" s="27">
        <f t="shared" si="8"/>
        <v>1</v>
      </c>
      <c r="T15" s="27">
        <f t="shared" si="9"/>
        <v>1</v>
      </c>
      <c r="U15" s="53">
        <f t="shared" si="10"/>
        <v>9.84</v>
      </c>
      <c r="V15" s="40">
        <v>25</v>
      </c>
      <c r="W15" s="30">
        <f t="shared" ca="1" si="11"/>
        <v>50</v>
      </c>
      <c r="X15" s="30">
        <f t="shared" ca="1" si="12"/>
        <v>40</v>
      </c>
      <c r="Y15" s="30">
        <f t="shared" ca="1" si="13"/>
        <v>80</v>
      </c>
      <c r="Z15" s="30">
        <f t="shared" ca="1" si="14"/>
        <v>105</v>
      </c>
      <c r="AA15" s="39">
        <f t="shared" ca="1" si="15"/>
        <v>210</v>
      </c>
      <c r="AB15" s="30">
        <f t="shared" ca="1" si="16"/>
        <v>266.65518940564948</v>
      </c>
      <c r="AC15" s="30">
        <f t="shared" ca="1" si="17"/>
        <v>1.6</v>
      </c>
      <c r="AD15" s="30">
        <f t="shared" ca="1" si="18"/>
        <v>1.9548772701764292</v>
      </c>
      <c r="AE15" s="30">
        <f t="shared" ca="1" si="19"/>
        <v>2</v>
      </c>
      <c r="AF15" s="47">
        <f t="shared" ca="1" si="20"/>
        <v>2</v>
      </c>
      <c r="AG15" s="28">
        <f t="shared" ca="1" si="21"/>
        <v>5.2</v>
      </c>
      <c r="AH15" s="25">
        <f t="shared" si="22"/>
        <v>240</v>
      </c>
      <c r="AI15" s="25" t="str">
        <f t="shared" ca="1" si="23"/>
        <v>neo1</v>
      </c>
      <c r="AJ15" s="25">
        <f t="shared" ca="1" si="24"/>
        <v>210</v>
      </c>
      <c r="AK15">
        <f t="shared" si="25"/>
        <v>100</v>
      </c>
      <c r="AL15">
        <f t="shared" si="26"/>
        <v>106.52112466548594</v>
      </c>
      <c r="AM15">
        <f t="shared" si="27"/>
        <v>25</v>
      </c>
      <c r="AN15">
        <f t="shared" ca="1" si="28"/>
        <v>42</v>
      </c>
      <c r="AO15">
        <f t="shared" ca="1" si="29"/>
        <v>45.961940777125584</v>
      </c>
      <c r="AP15">
        <f t="shared" ca="1" si="30"/>
        <v>25</v>
      </c>
      <c r="AQ15">
        <f t="shared" si="31"/>
        <v>25</v>
      </c>
      <c r="AR15" t="str">
        <f t="shared" ca="1" si="32"/>
        <v>ne1</v>
      </c>
      <c r="AS15" t="str">
        <f t="shared" ca="1" si="33"/>
        <v>ne</v>
      </c>
      <c r="AT15" t="str">
        <f t="shared" ca="1" si="34"/>
        <v>ne</v>
      </c>
      <c r="AU15">
        <f t="shared" ca="1" si="35"/>
        <v>214</v>
      </c>
    </row>
    <row r="16" spans="1:47" ht="15.75" thickBot="1" x14ac:dyDescent="0.3">
      <c r="A16" s="33" t="s">
        <v>12</v>
      </c>
      <c r="B16" s="71">
        <f ca="1">B4/(PI()*B15)</f>
        <v>0.46420191735136146</v>
      </c>
      <c r="D16" s="25"/>
      <c r="E16" s="73" t="s">
        <v>83</v>
      </c>
      <c r="F16" s="76" t="s">
        <v>84</v>
      </c>
      <c r="G16" s="203"/>
      <c r="H16" s="205"/>
      <c r="J16" s="40">
        <v>26</v>
      </c>
      <c r="K16" s="27">
        <f t="shared" si="0"/>
        <v>26</v>
      </c>
      <c r="L16" s="27">
        <f t="shared" si="1"/>
        <v>102</v>
      </c>
      <c r="M16" s="27">
        <f t="shared" si="2"/>
        <v>102</v>
      </c>
      <c r="N16" s="27">
        <f t="shared" si="3"/>
        <v>230</v>
      </c>
      <c r="O16" s="39">
        <f t="shared" si="4"/>
        <v>230</v>
      </c>
      <c r="P16" s="27">
        <f t="shared" si="5"/>
        <v>26.899427001447098</v>
      </c>
      <c r="Q16" s="27">
        <f t="shared" si="6"/>
        <v>3.9230769230769229</v>
      </c>
      <c r="R16" s="27">
        <f t="shared" si="7"/>
        <v>0.88358610382601921</v>
      </c>
      <c r="S16" s="27">
        <f t="shared" si="8"/>
        <v>1</v>
      </c>
      <c r="T16" s="27">
        <f t="shared" si="9"/>
        <v>1</v>
      </c>
      <c r="U16" s="53">
        <f t="shared" si="10"/>
        <v>9.8461538461538467</v>
      </c>
      <c r="V16" s="40">
        <v>26</v>
      </c>
      <c r="W16" s="30">
        <f t="shared" ca="1" si="11"/>
        <v>52</v>
      </c>
      <c r="X16" s="30">
        <f t="shared" ca="1" si="12"/>
        <v>42</v>
      </c>
      <c r="Y16" s="30">
        <f t="shared" ca="1" si="13"/>
        <v>84</v>
      </c>
      <c r="Z16" s="30">
        <f t="shared" ca="1" si="14"/>
        <v>110</v>
      </c>
      <c r="AA16" s="39">
        <f t="shared" ca="1" si="15"/>
        <v>220</v>
      </c>
      <c r="AB16" s="30">
        <f t="shared" ca="1" si="16"/>
        <v>266.65518940564948</v>
      </c>
      <c r="AC16" s="30">
        <f t="shared" ca="1" si="17"/>
        <v>1.6153846153846154</v>
      </c>
      <c r="AD16" s="30">
        <f t="shared" ca="1" si="18"/>
        <v>1.8773917714233233</v>
      </c>
      <c r="AE16" s="30">
        <f t="shared" ca="1" si="19"/>
        <v>2</v>
      </c>
      <c r="AF16" s="47">
        <f t="shared" ca="1" si="20"/>
        <v>2</v>
      </c>
      <c r="AG16" s="28">
        <f t="shared" ca="1" si="21"/>
        <v>5.2307692307692308</v>
      </c>
      <c r="AH16" s="25">
        <f t="shared" si="22"/>
        <v>240</v>
      </c>
      <c r="AI16" s="25" t="str">
        <f t="shared" ca="1" si="23"/>
        <v>neo1</v>
      </c>
      <c r="AJ16" s="25" t="str">
        <f t="shared" ca="1" si="24"/>
        <v>neo2</v>
      </c>
      <c r="AK16">
        <f t="shared" si="25"/>
        <v>104</v>
      </c>
      <c r="AL16">
        <f t="shared" si="26"/>
        <v>110.85125168440814</v>
      </c>
      <c r="AM16">
        <f t="shared" si="27"/>
        <v>26</v>
      </c>
      <c r="AN16">
        <f t="shared" ca="1" si="28"/>
        <v>44</v>
      </c>
      <c r="AO16">
        <f t="shared" ca="1" si="29"/>
        <v>48.083261120685229</v>
      </c>
      <c r="AP16">
        <f t="shared" ca="1" si="30"/>
        <v>26</v>
      </c>
      <c r="AQ16" t="str">
        <f t="shared" si="31"/>
        <v>ne1</v>
      </c>
      <c r="AR16">
        <f t="shared" ca="1" si="32"/>
        <v>26</v>
      </c>
      <c r="AS16" t="str">
        <f t="shared" ca="1" si="33"/>
        <v>ne</v>
      </c>
      <c r="AT16" t="str">
        <f t="shared" ca="1" si="34"/>
        <v>ne</v>
      </c>
      <c r="AU16">
        <f t="shared" ca="1" si="35"/>
        <v>214</v>
      </c>
    </row>
    <row r="17" spans="1:47" ht="16.5" thickTop="1" thickBot="1" x14ac:dyDescent="0.3">
      <c r="A17" s="35" t="s">
        <v>13</v>
      </c>
      <c r="B17" s="187">
        <f ca="1">B3/B16</f>
        <v>50.983560778257214</v>
      </c>
      <c r="C17" s="25"/>
      <c r="D17" s="25"/>
      <c r="E17" s="77">
        <v>23</v>
      </c>
      <c r="F17" s="78">
        <v>37</v>
      </c>
      <c r="G17" s="75">
        <f ca="1">INDIRECT("U"&amp;(E17-10))*INDIRECT("AG"&amp;(F17-10))</f>
        <v>51.440658049353701</v>
      </c>
      <c r="H17" s="74">
        <f ca="1">(G17/B17-1)*100</f>
        <v>0.89655815348901324</v>
      </c>
      <c r="J17" s="40">
        <v>27</v>
      </c>
      <c r="K17" s="27">
        <f t="shared" si="0"/>
        <v>27</v>
      </c>
      <c r="L17" s="27">
        <f t="shared" si="1"/>
        <v>106</v>
      </c>
      <c r="M17" s="27">
        <f t="shared" si="2"/>
        <v>106</v>
      </c>
      <c r="N17" s="27">
        <f t="shared" si="3"/>
        <v>239</v>
      </c>
      <c r="O17" s="39">
        <f t="shared" si="4"/>
        <v>239</v>
      </c>
      <c r="P17" s="27">
        <f t="shared" si="5"/>
        <v>26.899427001447098</v>
      </c>
      <c r="Q17" s="27">
        <f t="shared" si="6"/>
        <v>3.925925925925926</v>
      </c>
      <c r="R17" s="27">
        <f t="shared" si="7"/>
        <v>0.85081888329140221</v>
      </c>
      <c r="S17" s="27">
        <f t="shared" si="8"/>
        <v>1</v>
      </c>
      <c r="T17" s="27">
        <f t="shared" si="9"/>
        <v>1</v>
      </c>
      <c r="U17" s="53">
        <f t="shared" si="10"/>
        <v>9.8518518518518512</v>
      </c>
      <c r="V17" s="40">
        <v>27</v>
      </c>
      <c r="W17" s="30">
        <f t="shared" ca="1" si="11"/>
        <v>54</v>
      </c>
      <c r="X17" s="30">
        <f t="shared" ca="1" si="12"/>
        <v>43</v>
      </c>
      <c r="Y17" s="30">
        <f t="shared" ca="1" si="13"/>
        <v>86</v>
      </c>
      <c r="Z17" s="30">
        <f t="shared" ca="1" si="14"/>
        <v>113</v>
      </c>
      <c r="AA17" s="39">
        <f t="shared" ca="1" si="15"/>
        <v>226</v>
      </c>
      <c r="AB17" s="30">
        <f t="shared" ca="1" si="16"/>
        <v>266.65518940564948</v>
      </c>
      <c r="AC17" s="30">
        <f t="shared" ca="1" si="17"/>
        <v>1.5925925925925926</v>
      </c>
      <c r="AD17" s="30">
        <f t="shared" ca="1" si="18"/>
        <v>1.8111502544303961</v>
      </c>
      <c r="AE17" s="30">
        <f t="shared" ca="1" si="19"/>
        <v>2</v>
      </c>
      <c r="AF17" s="47">
        <f t="shared" ca="1" si="20"/>
        <v>2</v>
      </c>
      <c r="AG17" s="28">
        <f t="shared" ca="1" si="21"/>
        <v>5.1851851851851851</v>
      </c>
      <c r="AH17" s="25">
        <f t="shared" si="22"/>
        <v>240</v>
      </c>
      <c r="AI17" s="25" t="str">
        <f t="shared" ca="1" si="23"/>
        <v>neo1</v>
      </c>
      <c r="AJ17" s="25" t="str">
        <f t="shared" ca="1" si="24"/>
        <v>neo2</v>
      </c>
      <c r="AK17">
        <f t="shared" si="25"/>
        <v>108</v>
      </c>
      <c r="AL17">
        <f t="shared" si="26"/>
        <v>115.18137870333034</v>
      </c>
      <c r="AM17">
        <f t="shared" si="27"/>
        <v>27</v>
      </c>
      <c r="AN17">
        <f t="shared" ca="1" si="28"/>
        <v>45</v>
      </c>
      <c r="AO17">
        <f t="shared" ca="1" si="29"/>
        <v>49.497474683058321</v>
      </c>
      <c r="AP17">
        <f t="shared" ca="1" si="30"/>
        <v>27</v>
      </c>
      <c r="AQ17" t="str">
        <f t="shared" si="31"/>
        <v>ne1</v>
      </c>
      <c r="AR17">
        <f t="shared" ca="1" si="32"/>
        <v>27</v>
      </c>
      <c r="AS17" t="str">
        <f t="shared" ca="1" si="33"/>
        <v>ne</v>
      </c>
      <c r="AT17" t="str">
        <f t="shared" ca="1" si="34"/>
        <v>ne</v>
      </c>
      <c r="AU17">
        <f t="shared" ca="1" si="35"/>
        <v>214</v>
      </c>
    </row>
    <row r="18" spans="1:47" x14ac:dyDescent="0.25">
      <c r="D18" s="25"/>
      <c r="J18" s="40">
        <v>28</v>
      </c>
      <c r="K18" s="27">
        <f t="shared" si="0"/>
        <v>28</v>
      </c>
      <c r="L18" s="27">
        <f t="shared" si="1"/>
        <v>110</v>
      </c>
      <c r="M18" s="27">
        <f t="shared" si="2"/>
        <v>110</v>
      </c>
      <c r="N18" s="27">
        <f t="shared" si="3"/>
        <v>248</v>
      </c>
      <c r="O18" s="39">
        <f t="shared" si="4"/>
        <v>248</v>
      </c>
      <c r="P18" s="27">
        <f t="shared" si="5"/>
        <v>26.899427001447098</v>
      </c>
      <c r="Q18" s="27">
        <f t="shared" si="6"/>
        <v>3.9285714285714284</v>
      </c>
      <c r="R18" s="27">
        <f t="shared" si="7"/>
        <v>0.82039510704793306</v>
      </c>
      <c r="S18" s="27">
        <f t="shared" si="8"/>
        <v>1</v>
      </c>
      <c r="T18" s="27">
        <f t="shared" si="9"/>
        <v>1</v>
      </c>
      <c r="U18" s="53">
        <f t="shared" si="10"/>
        <v>9.8571428571428577</v>
      </c>
      <c r="V18" s="40">
        <v>28</v>
      </c>
      <c r="W18" s="30">
        <f t="shared" ca="1" si="11"/>
        <v>49</v>
      </c>
      <c r="X18" s="30">
        <f t="shared" ca="1" si="12"/>
        <v>45</v>
      </c>
      <c r="Y18" s="30">
        <f t="shared" ca="1" si="13"/>
        <v>78.75</v>
      </c>
      <c r="Z18" s="30">
        <f t="shared" ca="1" si="14"/>
        <v>118</v>
      </c>
      <c r="AA18" s="39">
        <f t="shared" ca="1" si="15"/>
        <v>206.5</v>
      </c>
      <c r="AB18" s="30">
        <f t="shared" ca="1" si="16"/>
        <v>266.65518940564948</v>
      </c>
      <c r="AC18" s="30">
        <f t="shared" ca="1" si="17"/>
        <v>1.6071428571428572</v>
      </c>
      <c r="AD18" s="30">
        <f t="shared" ca="1" si="18"/>
        <v>1.74443102204937</v>
      </c>
      <c r="AE18" s="30">
        <f t="shared" ca="1" si="19"/>
        <v>1.75</v>
      </c>
      <c r="AF18" s="47">
        <f t="shared" ca="1" si="20"/>
        <v>1.75</v>
      </c>
      <c r="AG18" s="28">
        <f t="shared" ca="1" si="21"/>
        <v>5.2142857142857144</v>
      </c>
      <c r="AH18" s="25">
        <f t="shared" si="22"/>
        <v>240</v>
      </c>
      <c r="AI18" s="25" t="str">
        <f t="shared" ca="1" si="23"/>
        <v>neo1</v>
      </c>
      <c r="AJ18" s="25">
        <f t="shared" ca="1" si="24"/>
        <v>206.5</v>
      </c>
      <c r="AK18">
        <f t="shared" si="25"/>
        <v>112</v>
      </c>
      <c r="AL18">
        <f t="shared" si="26"/>
        <v>119.51150572225252</v>
      </c>
      <c r="AM18">
        <f t="shared" si="27"/>
        <v>28</v>
      </c>
      <c r="AN18">
        <f t="shared" ca="1" si="28"/>
        <v>47</v>
      </c>
      <c r="AO18">
        <f t="shared" ca="1" si="29"/>
        <v>51.618795026617967</v>
      </c>
      <c r="AP18">
        <f t="shared" ca="1" si="30"/>
        <v>28</v>
      </c>
      <c r="AQ18">
        <f t="shared" si="31"/>
        <v>28</v>
      </c>
      <c r="AR18" t="str">
        <f t="shared" ca="1" si="32"/>
        <v>ne1</v>
      </c>
      <c r="AS18" t="str">
        <f t="shared" ca="1" si="33"/>
        <v>ne</v>
      </c>
      <c r="AT18" t="str">
        <f t="shared" ca="1" si="34"/>
        <v>ne</v>
      </c>
      <c r="AU18">
        <f t="shared" ca="1" si="35"/>
        <v>215.5</v>
      </c>
    </row>
    <row r="19" spans="1:47" x14ac:dyDescent="0.25">
      <c r="A19" s="25"/>
      <c r="B19" s="25"/>
      <c r="C19" s="25"/>
      <c r="D19" s="25"/>
      <c r="J19" s="40">
        <v>29</v>
      </c>
      <c r="K19" s="27">
        <f t="shared" si="0"/>
        <v>29</v>
      </c>
      <c r="L19" s="27">
        <f t="shared" si="1"/>
        <v>114</v>
      </c>
      <c r="M19" s="27">
        <f t="shared" si="2"/>
        <v>114</v>
      </c>
      <c r="N19" s="27">
        <f t="shared" si="3"/>
        <v>257</v>
      </c>
      <c r="O19" s="39">
        <f t="shared" si="4"/>
        <v>257</v>
      </c>
      <c r="P19" s="27">
        <f t="shared" si="5"/>
        <v>26.899427001447098</v>
      </c>
      <c r="Q19" s="27">
        <f t="shared" si="6"/>
        <v>3.9310344827586206</v>
      </c>
      <c r="R19" s="27">
        <f t="shared" si="7"/>
        <v>0.79207205253335444</v>
      </c>
      <c r="S19" s="27">
        <f t="shared" si="8"/>
        <v>1</v>
      </c>
      <c r="T19" s="27">
        <f t="shared" si="9"/>
        <v>1</v>
      </c>
      <c r="U19" s="53">
        <f t="shared" si="10"/>
        <v>9.862068965517242</v>
      </c>
      <c r="V19" s="40">
        <v>29</v>
      </c>
      <c r="W19" s="30">
        <f t="shared" ca="1" si="11"/>
        <v>50.75</v>
      </c>
      <c r="X19" s="30">
        <f t="shared" ca="1" si="12"/>
        <v>46</v>
      </c>
      <c r="Y19" s="30">
        <f t="shared" ca="1" si="13"/>
        <v>80.5</v>
      </c>
      <c r="Z19" s="30">
        <f t="shared" ca="1" si="14"/>
        <v>121</v>
      </c>
      <c r="AA19" s="39">
        <f t="shared" ca="1" si="15"/>
        <v>211.75</v>
      </c>
      <c r="AB19" s="30">
        <f t="shared" ca="1" si="16"/>
        <v>266.65518940564948</v>
      </c>
      <c r="AC19" s="30">
        <f t="shared" ca="1" si="17"/>
        <v>1.5862068965517242</v>
      </c>
      <c r="AD19" s="30">
        <f t="shared" ca="1" si="18"/>
        <v>1.6871156857229093</v>
      </c>
      <c r="AE19" s="30">
        <f t="shared" ca="1" si="19"/>
        <v>1.75</v>
      </c>
      <c r="AF19" s="47">
        <f t="shared" ca="1" si="20"/>
        <v>1.75</v>
      </c>
      <c r="AG19" s="28">
        <f t="shared" ca="1" si="21"/>
        <v>5.1724137931034484</v>
      </c>
      <c r="AH19" s="25">
        <f t="shared" si="22"/>
        <v>240</v>
      </c>
      <c r="AI19" s="25" t="str">
        <f t="shared" ca="1" si="23"/>
        <v>neo1</v>
      </c>
      <c r="AJ19" s="25">
        <f t="shared" ca="1" si="24"/>
        <v>211.75</v>
      </c>
      <c r="AK19">
        <f t="shared" si="25"/>
        <v>116</v>
      </c>
      <c r="AL19">
        <f t="shared" si="26"/>
        <v>123.84163274117472</v>
      </c>
      <c r="AM19">
        <f t="shared" si="27"/>
        <v>29</v>
      </c>
      <c r="AN19">
        <f t="shared" ca="1" si="28"/>
        <v>48</v>
      </c>
      <c r="AO19">
        <f t="shared" ca="1" si="29"/>
        <v>53.033008588991059</v>
      </c>
      <c r="AP19">
        <f t="shared" ca="1" si="30"/>
        <v>29</v>
      </c>
      <c r="AQ19" t="str">
        <f t="shared" si="31"/>
        <v>ne1</v>
      </c>
      <c r="AR19" t="str">
        <f t="shared" ca="1" si="32"/>
        <v>ne1</v>
      </c>
      <c r="AS19" t="str">
        <f t="shared" ca="1" si="33"/>
        <v>ne</v>
      </c>
      <c r="AT19" t="str">
        <f t="shared" ca="1" si="34"/>
        <v>ne</v>
      </c>
      <c r="AU19">
        <f t="shared" ca="1" si="35"/>
        <v>215.5</v>
      </c>
    </row>
    <row r="20" spans="1:47" x14ac:dyDescent="0.25">
      <c r="A20" s="25"/>
      <c r="B20" s="26"/>
      <c r="C20" s="25"/>
      <c r="D20" s="25"/>
      <c r="J20" s="40">
        <v>30</v>
      </c>
      <c r="K20" s="27">
        <f t="shared" si="0"/>
        <v>30</v>
      </c>
      <c r="L20" s="27">
        <f t="shared" si="1"/>
        <v>118</v>
      </c>
      <c r="M20" s="27">
        <f t="shared" si="2"/>
        <v>118</v>
      </c>
      <c r="N20" s="27">
        <f t="shared" si="3"/>
        <v>266</v>
      </c>
      <c r="O20" s="39">
        <f t="shared" si="4"/>
        <v>266</v>
      </c>
      <c r="P20" s="27">
        <f t="shared" si="5"/>
        <v>26.899427001447098</v>
      </c>
      <c r="Q20" s="27">
        <f t="shared" si="6"/>
        <v>3.9333333333333331</v>
      </c>
      <c r="R20" s="27">
        <f t="shared" si="7"/>
        <v>0.76563939911683043</v>
      </c>
      <c r="S20" s="27">
        <f t="shared" si="8"/>
        <v>1</v>
      </c>
      <c r="T20" s="27">
        <f t="shared" si="9"/>
        <v>1</v>
      </c>
      <c r="U20" s="53">
        <f t="shared" si="10"/>
        <v>9.8666666666666671</v>
      </c>
      <c r="V20" s="40">
        <v>30</v>
      </c>
      <c r="W20" s="30">
        <f t="shared" ca="1" si="11"/>
        <v>52.5</v>
      </c>
      <c r="X20" s="30">
        <f t="shared" ca="1" si="12"/>
        <v>48</v>
      </c>
      <c r="Y20" s="30">
        <f t="shared" ca="1" si="13"/>
        <v>84</v>
      </c>
      <c r="Z20" s="30">
        <f t="shared" ca="1" si="14"/>
        <v>126</v>
      </c>
      <c r="AA20" s="39">
        <f t="shared" ca="1" si="15"/>
        <v>220.5</v>
      </c>
      <c r="AB20" s="30">
        <f t="shared" ca="1" si="16"/>
        <v>266.65518940564948</v>
      </c>
      <c r="AC20" s="30">
        <f t="shared" ca="1" si="17"/>
        <v>1.6</v>
      </c>
      <c r="AD20" s="30">
        <f t="shared" ca="1" si="18"/>
        <v>1.6290643918136909</v>
      </c>
      <c r="AE20" s="30">
        <f t="shared" ca="1" si="19"/>
        <v>1.75</v>
      </c>
      <c r="AF20" s="47">
        <f t="shared" ca="1" si="20"/>
        <v>1.75</v>
      </c>
      <c r="AG20" s="28">
        <f t="shared" ca="1" si="21"/>
        <v>5.2</v>
      </c>
      <c r="AH20" s="25">
        <f t="shared" si="22"/>
        <v>240</v>
      </c>
      <c r="AI20" s="25" t="str">
        <f t="shared" ca="1" si="23"/>
        <v>neo1</v>
      </c>
      <c r="AJ20" s="25" t="str">
        <f t="shared" ca="1" si="24"/>
        <v>neo2</v>
      </c>
      <c r="AK20">
        <f t="shared" si="25"/>
        <v>120</v>
      </c>
      <c r="AL20">
        <f t="shared" si="26"/>
        <v>128.1717597600969</v>
      </c>
      <c r="AM20">
        <f t="shared" si="27"/>
        <v>30</v>
      </c>
      <c r="AN20">
        <f t="shared" ca="1" si="28"/>
        <v>50</v>
      </c>
      <c r="AO20">
        <f t="shared" ca="1" si="29"/>
        <v>55.154328932550705</v>
      </c>
      <c r="AP20">
        <f t="shared" ca="1" si="30"/>
        <v>30</v>
      </c>
      <c r="AQ20" t="str">
        <f t="shared" si="31"/>
        <v>ne1</v>
      </c>
      <c r="AR20">
        <f t="shared" ca="1" si="32"/>
        <v>30</v>
      </c>
      <c r="AS20" t="str">
        <f t="shared" ca="1" si="33"/>
        <v>ne</v>
      </c>
      <c r="AT20" t="str">
        <f t="shared" ca="1" si="34"/>
        <v>ne</v>
      </c>
      <c r="AU20">
        <f t="shared" ca="1" si="35"/>
        <v>215.5</v>
      </c>
    </row>
    <row r="21" spans="1:47" x14ac:dyDescent="0.25">
      <c r="A21" s="25"/>
      <c r="B21" s="26"/>
      <c r="C21" s="25"/>
      <c r="D21" s="25"/>
      <c r="J21" s="40">
        <v>31</v>
      </c>
      <c r="K21" s="27">
        <f t="shared" si="0"/>
        <v>31</v>
      </c>
      <c r="L21" s="27">
        <f t="shared" si="1"/>
        <v>122</v>
      </c>
      <c r="M21" s="27">
        <f t="shared" si="2"/>
        <v>122</v>
      </c>
      <c r="N21" s="27">
        <f t="shared" si="3"/>
        <v>275</v>
      </c>
      <c r="O21" s="39">
        <f t="shared" si="4"/>
        <v>275</v>
      </c>
      <c r="P21" s="27">
        <f t="shared" si="5"/>
        <v>26.899427001447098</v>
      </c>
      <c r="Q21" s="27">
        <f t="shared" si="6"/>
        <v>3.935483870967742</v>
      </c>
      <c r="R21" s="27">
        <f t="shared" si="7"/>
        <v>0.74091399581268014</v>
      </c>
      <c r="S21" s="27">
        <f t="shared" si="8"/>
        <v>1</v>
      </c>
      <c r="T21" s="27">
        <f t="shared" si="9"/>
        <v>1</v>
      </c>
      <c r="U21" s="53">
        <f t="shared" si="10"/>
        <v>9.870967741935484</v>
      </c>
      <c r="V21" s="40">
        <v>31</v>
      </c>
      <c r="W21" s="30">
        <f t="shared" ca="1" si="11"/>
        <v>54.25</v>
      </c>
      <c r="X21" s="30">
        <f t="shared" ca="1" si="12"/>
        <v>49</v>
      </c>
      <c r="Y21" s="30">
        <f t="shared" ca="1" si="13"/>
        <v>85.75</v>
      </c>
      <c r="Z21" s="30">
        <f t="shared" ca="1" si="14"/>
        <v>129</v>
      </c>
      <c r="AA21" s="39">
        <f t="shared" ca="1" si="15"/>
        <v>225.75</v>
      </c>
      <c r="AB21" s="30">
        <f t="shared" ca="1" si="16"/>
        <v>266.65518940564948</v>
      </c>
      <c r="AC21" s="30">
        <f t="shared" ca="1" si="17"/>
        <v>1.5806451612903225</v>
      </c>
      <c r="AD21" s="30">
        <f t="shared" ca="1" si="18"/>
        <v>1.5789849565704148</v>
      </c>
      <c r="AE21" s="30">
        <f t="shared" ca="1" si="19"/>
        <v>1.75</v>
      </c>
      <c r="AF21" s="47">
        <f t="shared" ca="1" si="20"/>
        <v>1.75</v>
      </c>
      <c r="AG21" s="28">
        <f t="shared" ca="1" si="21"/>
        <v>5.161290322580645</v>
      </c>
      <c r="AH21" s="25">
        <f t="shared" si="22"/>
        <v>240</v>
      </c>
      <c r="AI21" s="25" t="str">
        <f t="shared" ca="1" si="23"/>
        <v>neo1</v>
      </c>
      <c r="AJ21" s="25" t="str">
        <f t="shared" ca="1" si="24"/>
        <v>neo2</v>
      </c>
      <c r="AK21">
        <f t="shared" si="25"/>
        <v>124</v>
      </c>
      <c r="AL21">
        <f t="shared" si="26"/>
        <v>132.50188677901912</v>
      </c>
      <c r="AM21">
        <f t="shared" si="27"/>
        <v>31</v>
      </c>
      <c r="AN21">
        <f t="shared" ca="1" si="28"/>
        <v>51</v>
      </c>
      <c r="AO21">
        <f t="shared" ca="1" si="29"/>
        <v>56.568542494923797</v>
      </c>
      <c r="AP21">
        <f t="shared" ca="1" si="30"/>
        <v>31</v>
      </c>
      <c r="AQ21">
        <f t="shared" si="31"/>
        <v>31</v>
      </c>
      <c r="AR21">
        <f t="shared" ca="1" si="32"/>
        <v>31</v>
      </c>
      <c r="AS21" t="str">
        <f t="shared" ca="1" si="33"/>
        <v>ne</v>
      </c>
      <c r="AT21" t="str">
        <f t="shared" ca="1" si="34"/>
        <v>ne</v>
      </c>
      <c r="AU21">
        <f t="shared" ca="1" si="35"/>
        <v>215.5</v>
      </c>
    </row>
    <row r="22" spans="1:47" x14ac:dyDescent="0.25">
      <c r="A22" s="25"/>
      <c r="B22" s="25"/>
      <c r="C22" s="25"/>
      <c r="D22" s="25"/>
      <c r="J22" s="40">
        <v>32</v>
      </c>
      <c r="K22" s="27">
        <f t="shared" si="0"/>
        <v>32</v>
      </c>
      <c r="L22" s="27">
        <f t="shared" si="1"/>
        <v>126</v>
      </c>
      <c r="M22" s="27">
        <f t="shared" si="2"/>
        <v>126</v>
      </c>
      <c r="N22" s="27">
        <f t="shared" si="3"/>
        <v>284</v>
      </c>
      <c r="O22" s="39">
        <f t="shared" si="4"/>
        <v>284</v>
      </c>
      <c r="P22" s="27">
        <f t="shared" si="5"/>
        <v>26.899427001447098</v>
      </c>
      <c r="Q22" s="27">
        <f t="shared" si="6"/>
        <v>3.9375</v>
      </c>
      <c r="R22" s="27">
        <f t="shared" si="7"/>
        <v>0.71773561118478379</v>
      </c>
      <c r="S22" s="27">
        <f t="shared" si="8"/>
        <v>1</v>
      </c>
      <c r="T22" s="27">
        <f t="shared" si="9"/>
        <v>1</v>
      </c>
      <c r="U22" s="53">
        <f t="shared" si="10"/>
        <v>9.875</v>
      </c>
      <c r="V22" s="40">
        <v>32</v>
      </c>
      <c r="W22" s="30">
        <f t="shared" ca="1" si="11"/>
        <v>56</v>
      </c>
      <c r="X22" s="30">
        <f t="shared" ca="1" si="12"/>
        <v>51</v>
      </c>
      <c r="Y22" s="30">
        <f t="shared" ca="1" si="13"/>
        <v>89.25</v>
      </c>
      <c r="Z22" s="30">
        <f t="shared" ca="1" si="14"/>
        <v>134</v>
      </c>
      <c r="AA22" s="39">
        <f t="shared" ca="1" si="15"/>
        <v>234.5</v>
      </c>
      <c r="AB22" s="30">
        <f t="shared" ca="1" si="16"/>
        <v>266.65518940564948</v>
      </c>
      <c r="AC22" s="30">
        <f t="shared" ca="1" si="17"/>
        <v>1.59375</v>
      </c>
      <c r="AD22" s="30">
        <f t="shared" ca="1" si="18"/>
        <v>1.5280153286943639</v>
      </c>
      <c r="AE22" s="30">
        <f t="shared" ca="1" si="19"/>
        <v>1.75</v>
      </c>
      <c r="AF22" s="47">
        <f t="shared" ca="1" si="20"/>
        <v>1.75</v>
      </c>
      <c r="AG22" s="28">
        <f t="shared" ca="1" si="21"/>
        <v>5.1875</v>
      </c>
      <c r="AH22" s="25">
        <f t="shared" si="22"/>
        <v>240</v>
      </c>
      <c r="AI22" s="25" t="str">
        <f t="shared" ca="1" si="23"/>
        <v>neo1</v>
      </c>
      <c r="AJ22" s="25" t="str">
        <f t="shared" ca="1" si="24"/>
        <v>neo2</v>
      </c>
      <c r="AK22">
        <f t="shared" si="25"/>
        <v>128</v>
      </c>
      <c r="AL22">
        <f t="shared" si="26"/>
        <v>136.8320137979413</v>
      </c>
      <c r="AM22">
        <f t="shared" si="27"/>
        <v>32</v>
      </c>
      <c r="AN22">
        <f t="shared" ca="1" si="28"/>
        <v>53</v>
      </c>
      <c r="AO22">
        <f t="shared" ca="1" si="29"/>
        <v>58.689862838483442</v>
      </c>
      <c r="AP22">
        <f t="shared" ca="1" si="30"/>
        <v>32</v>
      </c>
      <c r="AQ22" t="str">
        <f t="shared" si="31"/>
        <v>ne1</v>
      </c>
      <c r="AR22" t="str">
        <f t="shared" ca="1" si="32"/>
        <v>ne1</v>
      </c>
      <c r="AS22" t="str">
        <f t="shared" ca="1" si="33"/>
        <v>ne</v>
      </c>
      <c r="AT22" t="str">
        <f t="shared" ca="1" si="34"/>
        <v>ne</v>
      </c>
      <c r="AU22">
        <f t="shared" ca="1" si="35"/>
        <v>215.5</v>
      </c>
    </row>
    <row r="23" spans="1:47" x14ac:dyDescent="0.25">
      <c r="J23" s="40">
        <v>33</v>
      </c>
      <c r="K23" s="27">
        <f t="shared" si="0"/>
        <v>33</v>
      </c>
      <c r="L23" s="27">
        <f t="shared" si="1"/>
        <v>130</v>
      </c>
      <c r="M23" s="27">
        <f t="shared" si="2"/>
        <v>130</v>
      </c>
      <c r="N23" s="27">
        <f t="shared" si="3"/>
        <v>293</v>
      </c>
      <c r="O23" s="39">
        <f t="shared" si="4"/>
        <v>293</v>
      </c>
      <c r="P23" s="27">
        <f t="shared" si="5"/>
        <v>26.899427001447098</v>
      </c>
      <c r="Q23" s="27">
        <f t="shared" si="6"/>
        <v>3.9393939393939394</v>
      </c>
      <c r="R23" s="27">
        <f t="shared" si="7"/>
        <v>0.69596345686096261</v>
      </c>
      <c r="S23" s="27">
        <f t="shared" si="8"/>
        <v>1</v>
      </c>
      <c r="T23" s="27">
        <f t="shared" si="9"/>
        <v>1</v>
      </c>
      <c r="U23" s="53">
        <f t="shared" si="10"/>
        <v>9.8787878787878789</v>
      </c>
      <c r="V23" s="40">
        <v>33</v>
      </c>
      <c r="W23" s="30">
        <f t="shared" ca="1" si="11"/>
        <v>49.5</v>
      </c>
      <c r="X23" s="30">
        <f t="shared" ca="1" si="12"/>
        <v>53</v>
      </c>
      <c r="Y23" s="30">
        <f t="shared" ca="1" si="13"/>
        <v>79.5</v>
      </c>
      <c r="Z23" s="30">
        <f t="shared" ca="1" si="14"/>
        <v>139</v>
      </c>
      <c r="AA23" s="39">
        <f t="shared" ca="1" si="15"/>
        <v>208.5</v>
      </c>
      <c r="AB23" s="30">
        <f t="shared" ca="1" si="16"/>
        <v>266.65518940564948</v>
      </c>
      <c r="AC23" s="30">
        <f t="shared" ca="1" si="17"/>
        <v>1.606060606060606</v>
      </c>
      <c r="AD23" s="30">
        <f t="shared" ca="1" si="18"/>
        <v>1.4802508003347572</v>
      </c>
      <c r="AE23" s="30">
        <f t="shared" ca="1" si="19"/>
        <v>1.5</v>
      </c>
      <c r="AF23" s="47">
        <f t="shared" ca="1" si="20"/>
        <v>1.5</v>
      </c>
      <c r="AG23" s="28">
        <f t="shared" ca="1" si="21"/>
        <v>5.2121212121212119</v>
      </c>
      <c r="AH23" s="25">
        <f t="shared" si="22"/>
        <v>240</v>
      </c>
      <c r="AI23" s="25" t="str">
        <f t="shared" ca="1" si="23"/>
        <v>neo1</v>
      </c>
      <c r="AJ23" s="25">
        <f t="shared" ca="1" si="24"/>
        <v>208.5</v>
      </c>
      <c r="AK23">
        <f t="shared" si="25"/>
        <v>132</v>
      </c>
      <c r="AL23">
        <f t="shared" si="26"/>
        <v>141.16214081686348</v>
      </c>
      <c r="AM23">
        <f t="shared" si="27"/>
        <v>33</v>
      </c>
      <c r="AN23">
        <f t="shared" ca="1" si="28"/>
        <v>55</v>
      </c>
      <c r="AO23">
        <f t="shared" ca="1" si="29"/>
        <v>60.811183182043081</v>
      </c>
      <c r="AP23">
        <f t="shared" ca="1" si="30"/>
        <v>33</v>
      </c>
      <c r="AQ23" t="str">
        <f t="shared" si="31"/>
        <v>ne1</v>
      </c>
      <c r="AR23">
        <f t="shared" ca="1" si="32"/>
        <v>33</v>
      </c>
      <c r="AS23" t="str">
        <f t="shared" ca="1" si="33"/>
        <v>ne</v>
      </c>
      <c r="AT23">
        <f t="shared" ca="1" si="34"/>
        <v>1</v>
      </c>
      <c r="AU23">
        <f t="shared" ca="1" si="35"/>
        <v>217</v>
      </c>
    </row>
    <row r="24" spans="1:47" x14ac:dyDescent="0.25">
      <c r="J24" s="40">
        <v>34</v>
      </c>
      <c r="K24" s="27">
        <f t="shared" si="0"/>
        <v>34</v>
      </c>
      <c r="L24" s="27">
        <f t="shared" si="1"/>
        <v>134</v>
      </c>
      <c r="M24" s="27">
        <f t="shared" si="2"/>
        <v>134</v>
      </c>
      <c r="N24" s="27">
        <f t="shared" si="3"/>
        <v>302</v>
      </c>
      <c r="O24" s="39">
        <f t="shared" si="4"/>
        <v>302</v>
      </c>
      <c r="P24" s="27">
        <f t="shared" si="5"/>
        <v>26.899427001447098</v>
      </c>
      <c r="Q24" s="27">
        <f t="shared" si="6"/>
        <v>3.9411764705882355</v>
      </c>
      <c r="R24" s="27">
        <f t="shared" si="7"/>
        <v>0.67547332520936332</v>
      </c>
      <c r="S24" s="27">
        <f t="shared" si="8"/>
        <v>1</v>
      </c>
      <c r="T24" s="27">
        <f t="shared" si="9"/>
        <v>1</v>
      </c>
      <c r="U24" s="53">
        <f t="shared" si="10"/>
        <v>9.882352941176471</v>
      </c>
      <c r="V24" s="40">
        <v>34</v>
      </c>
      <c r="W24" s="30">
        <f t="shared" ca="1" si="11"/>
        <v>51</v>
      </c>
      <c r="X24" s="30">
        <f t="shared" ca="1" si="12"/>
        <v>54</v>
      </c>
      <c r="Y24" s="30">
        <f t="shared" ca="1" si="13"/>
        <v>81</v>
      </c>
      <c r="Z24" s="30">
        <f t="shared" ca="1" si="14"/>
        <v>142</v>
      </c>
      <c r="AA24" s="39">
        <f t="shared" ca="1" si="15"/>
        <v>213</v>
      </c>
      <c r="AB24" s="30">
        <f t="shared" ca="1" si="16"/>
        <v>266.65518940564948</v>
      </c>
      <c r="AC24" s="30">
        <f t="shared" ca="1" si="17"/>
        <v>1.588235294117647</v>
      </c>
      <c r="AD24" s="30">
        <f t="shared" ca="1" si="18"/>
        <v>1.4387735246740081</v>
      </c>
      <c r="AE24" s="30">
        <f t="shared" ca="1" si="19"/>
        <v>1.5</v>
      </c>
      <c r="AF24" s="47">
        <f t="shared" ca="1" si="20"/>
        <v>1.5</v>
      </c>
      <c r="AG24" s="28">
        <f t="shared" ca="1" si="21"/>
        <v>5.1764705882352944</v>
      </c>
      <c r="AH24" s="25">
        <f t="shared" si="22"/>
        <v>240</v>
      </c>
      <c r="AI24" s="25" t="str">
        <f t="shared" ca="1" si="23"/>
        <v>neo1</v>
      </c>
      <c r="AJ24" s="25">
        <f t="shared" ca="1" si="24"/>
        <v>213</v>
      </c>
      <c r="AK24">
        <f t="shared" si="25"/>
        <v>136</v>
      </c>
      <c r="AL24">
        <f t="shared" si="26"/>
        <v>145.4922678357857</v>
      </c>
      <c r="AM24">
        <f t="shared" si="27"/>
        <v>34</v>
      </c>
      <c r="AN24">
        <f t="shared" ca="1" si="28"/>
        <v>56</v>
      </c>
      <c r="AO24">
        <f t="shared" ca="1" si="29"/>
        <v>62.225396744416173</v>
      </c>
      <c r="AP24">
        <f t="shared" ca="1" si="30"/>
        <v>34</v>
      </c>
      <c r="AQ24">
        <f t="shared" si="31"/>
        <v>34</v>
      </c>
      <c r="AR24">
        <f t="shared" ca="1" si="32"/>
        <v>34</v>
      </c>
      <c r="AS24" t="str">
        <f t="shared" ca="1" si="33"/>
        <v>ne</v>
      </c>
      <c r="AT24">
        <f t="shared" ca="1" si="34"/>
        <v>1</v>
      </c>
      <c r="AU24">
        <f t="shared" ca="1" si="35"/>
        <v>217</v>
      </c>
    </row>
    <row r="25" spans="1:47" x14ac:dyDescent="0.25">
      <c r="J25" s="40">
        <v>35</v>
      </c>
      <c r="K25" s="27">
        <f t="shared" si="0"/>
        <v>35</v>
      </c>
      <c r="L25" s="27">
        <f t="shared" si="1"/>
        <v>138</v>
      </c>
      <c r="M25" s="27">
        <f t="shared" si="2"/>
        <v>138</v>
      </c>
      <c r="N25" s="27">
        <f t="shared" si="3"/>
        <v>311</v>
      </c>
      <c r="O25" s="39">
        <f t="shared" si="4"/>
        <v>311</v>
      </c>
      <c r="P25" s="27">
        <f t="shared" si="5"/>
        <v>26.899427001447098</v>
      </c>
      <c r="Q25" s="27">
        <f t="shared" si="6"/>
        <v>3.9428571428571431</v>
      </c>
      <c r="R25" s="27">
        <f t="shared" si="7"/>
        <v>0.65615521821359435</v>
      </c>
      <c r="S25" s="27">
        <f t="shared" si="8"/>
        <v>1</v>
      </c>
      <c r="T25" s="27">
        <f t="shared" si="9"/>
        <v>1</v>
      </c>
      <c r="U25" s="53">
        <f t="shared" si="10"/>
        <v>9.8857142857142861</v>
      </c>
      <c r="V25" s="40">
        <v>35</v>
      </c>
      <c r="W25" s="30">
        <f t="shared" ca="1" si="11"/>
        <v>52.5</v>
      </c>
      <c r="X25" s="30">
        <f t="shared" ca="1" si="12"/>
        <v>56</v>
      </c>
      <c r="Y25" s="30">
        <f t="shared" ca="1" si="13"/>
        <v>84</v>
      </c>
      <c r="Z25" s="30">
        <f t="shared" ca="1" si="14"/>
        <v>147</v>
      </c>
      <c r="AA25" s="39">
        <f t="shared" ca="1" si="15"/>
        <v>220.5</v>
      </c>
      <c r="AB25" s="30">
        <f t="shared" ca="1" si="16"/>
        <v>266.65518940564948</v>
      </c>
      <c r="AC25" s="30">
        <f t="shared" ca="1" si="17"/>
        <v>1.6</v>
      </c>
      <c r="AD25" s="30">
        <f t="shared" ca="1" si="18"/>
        <v>1.3963409072688782</v>
      </c>
      <c r="AE25" s="30">
        <f t="shared" ca="1" si="19"/>
        <v>1.5</v>
      </c>
      <c r="AF25" s="47">
        <f t="shared" ca="1" si="20"/>
        <v>1.5</v>
      </c>
      <c r="AG25" s="28">
        <f t="shared" ca="1" si="21"/>
        <v>5.2</v>
      </c>
      <c r="AH25" s="25">
        <f t="shared" si="22"/>
        <v>240</v>
      </c>
      <c r="AI25" s="25" t="str">
        <f t="shared" ca="1" si="23"/>
        <v>neo1</v>
      </c>
      <c r="AJ25" s="25" t="str">
        <f t="shared" ca="1" si="24"/>
        <v>neo2</v>
      </c>
      <c r="AK25">
        <f t="shared" si="25"/>
        <v>140</v>
      </c>
      <c r="AL25">
        <f t="shared" si="26"/>
        <v>149.82239485470788</v>
      </c>
      <c r="AM25">
        <f t="shared" si="27"/>
        <v>35</v>
      </c>
      <c r="AN25">
        <f t="shared" ca="1" si="28"/>
        <v>58</v>
      </c>
      <c r="AO25">
        <f t="shared" ca="1" si="29"/>
        <v>64.346717087975819</v>
      </c>
      <c r="AP25">
        <f t="shared" ca="1" si="30"/>
        <v>35</v>
      </c>
      <c r="AQ25" t="str">
        <f t="shared" si="31"/>
        <v>ne1</v>
      </c>
      <c r="AR25" t="str">
        <f t="shared" ca="1" si="32"/>
        <v>ne1</v>
      </c>
      <c r="AS25" t="str">
        <f t="shared" ca="1" si="33"/>
        <v>ne</v>
      </c>
      <c r="AT25" t="str">
        <f t="shared" ca="1" si="34"/>
        <v>ne</v>
      </c>
      <c r="AU25">
        <f t="shared" ca="1" si="35"/>
        <v>217</v>
      </c>
    </row>
    <row r="26" spans="1:47" x14ac:dyDescent="0.25">
      <c r="J26" s="40">
        <v>36</v>
      </c>
      <c r="K26" s="27">
        <f t="shared" si="0"/>
        <v>36</v>
      </c>
      <c r="L26" s="27">
        <f t="shared" si="1"/>
        <v>142</v>
      </c>
      <c r="M26" s="27">
        <f t="shared" si="2"/>
        <v>142</v>
      </c>
      <c r="N26" s="27">
        <f t="shared" si="3"/>
        <v>320</v>
      </c>
      <c r="O26" s="39">
        <f t="shared" si="4"/>
        <v>320</v>
      </c>
      <c r="P26" s="27">
        <f t="shared" si="5"/>
        <v>26.899427001447098</v>
      </c>
      <c r="Q26" s="27">
        <f t="shared" si="6"/>
        <v>3.9444444444444446</v>
      </c>
      <c r="R26" s="27">
        <f t="shared" si="7"/>
        <v>0.63791137193716185</v>
      </c>
      <c r="S26" s="27">
        <f t="shared" si="8"/>
        <v>1</v>
      </c>
      <c r="T26" s="27">
        <f t="shared" si="9"/>
        <v>1</v>
      </c>
      <c r="U26" s="53">
        <f t="shared" si="10"/>
        <v>9.8888888888888893</v>
      </c>
      <c r="V26" s="40">
        <v>36</v>
      </c>
      <c r="W26" s="30">
        <f t="shared" ca="1" si="11"/>
        <v>49.5</v>
      </c>
      <c r="X26" s="30">
        <f t="shared" ca="1" si="12"/>
        <v>57</v>
      </c>
      <c r="Y26" s="30">
        <f t="shared" ca="1" si="13"/>
        <v>78.375</v>
      </c>
      <c r="Z26" s="30">
        <f t="shared" ca="1" si="14"/>
        <v>150</v>
      </c>
      <c r="AA26" s="39">
        <f t="shared" ca="1" si="15"/>
        <v>206.25</v>
      </c>
      <c r="AB26" s="30">
        <f t="shared" ca="1" si="16"/>
        <v>266.65518940564948</v>
      </c>
      <c r="AC26" s="30">
        <f t="shared" ca="1" si="17"/>
        <v>1.5833333333333333</v>
      </c>
      <c r="AD26" s="30">
        <f t="shared" ca="1" si="18"/>
        <v>1.3593832492013131</v>
      </c>
      <c r="AE26" s="30">
        <f t="shared" ca="1" si="19"/>
        <v>1.375</v>
      </c>
      <c r="AF26" s="47">
        <f t="shared" ca="1" si="20"/>
        <v>1.375</v>
      </c>
      <c r="AG26" s="28">
        <f t="shared" ca="1" si="21"/>
        <v>5.166666666666667</v>
      </c>
      <c r="AH26" s="25">
        <f t="shared" si="22"/>
        <v>240</v>
      </c>
      <c r="AI26" s="25" t="str">
        <f t="shared" ca="1" si="23"/>
        <v>neo1</v>
      </c>
      <c r="AJ26" s="25">
        <f t="shared" ca="1" si="24"/>
        <v>206.25</v>
      </c>
      <c r="AK26">
        <f t="shared" si="25"/>
        <v>144</v>
      </c>
      <c r="AL26">
        <f t="shared" si="26"/>
        <v>154.15252187363006</v>
      </c>
      <c r="AM26">
        <f t="shared" si="27"/>
        <v>36</v>
      </c>
      <c r="AN26">
        <f t="shared" ca="1" si="28"/>
        <v>59</v>
      </c>
      <c r="AO26">
        <f t="shared" ca="1" si="29"/>
        <v>65.760930650348911</v>
      </c>
      <c r="AP26">
        <f t="shared" ca="1" si="30"/>
        <v>36</v>
      </c>
      <c r="AQ26" t="str">
        <f t="shared" si="31"/>
        <v>ne1</v>
      </c>
      <c r="AR26" t="str">
        <f t="shared" ca="1" si="32"/>
        <v>ne1</v>
      </c>
      <c r="AS26" t="str">
        <f t="shared" ca="1" si="33"/>
        <v>ne</v>
      </c>
      <c r="AT26" t="str">
        <f t="shared" ca="1" si="34"/>
        <v>ne</v>
      </c>
      <c r="AU26">
        <f t="shared" ca="1" si="35"/>
        <v>217.75</v>
      </c>
    </row>
    <row r="27" spans="1:47" x14ac:dyDescent="0.25">
      <c r="J27" s="40">
        <v>37</v>
      </c>
      <c r="K27" s="27">
        <f t="shared" si="0"/>
        <v>37</v>
      </c>
      <c r="L27" s="27">
        <f t="shared" si="1"/>
        <v>145</v>
      </c>
      <c r="M27" s="27">
        <f t="shared" si="2"/>
        <v>145</v>
      </c>
      <c r="N27" s="27">
        <f t="shared" si="3"/>
        <v>327</v>
      </c>
      <c r="O27" s="39">
        <f t="shared" si="4"/>
        <v>327</v>
      </c>
      <c r="P27" s="27">
        <f t="shared" si="5"/>
        <v>26.899427001447098</v>
      </c>
      <c r="Q27" s="27">
        <f t="shared" si="6"/>
        <v>3.9189189189189189</v>
      </c>
      <c r="R27" s="27">
        <f t="shared" si="7"/>
        <v>0.62094294479114942</v>
      </c>
      <c r="S27" s="27">
        <f t="shared" si="8"/>
        <v>1</v>
      </c>
      <c r="T27" s="27">
        <f t="shared" si="9"/>
        <v>1</v>
      </c>
      <c r="U27" s="53">
        <f t="shared" si="10"/>
        <v>9.8378378378378386</v>
      </c>
      <c r="V27" s="40">
        <v>37</v>
      </c>
      <c r="W27" s="30">
        <f t="shared" ca="1" si="11"/>
        <v>50.875</v>
      </c>
      <c r="X27" s="30">
        <f t="shared" ca="1" si="12"/>
        <v>59</v>
      </c>
      <c r="Y27" s="30">
        <f t="shared" ca="1" si="13"/>
        <v>81.125</v>
      </c>
      <c r="Z27" s="30">
        <f t="shared" ca="1" si="14"/>
        <v>155</v>
      </c>
      <c r="AA27" s="39">
        <f t="shared" ca="1" si="15"/>
        <v>213.125</v>
      </c>
      <c r="AB27" s="30">
        <f t="shared" ca="1" si="16"/>
        <v>266.65518940564948</v>
      </c>
      <c r="AC27" s="30">
        <f t="shared" ca="1" si="17"/>
        <v>1.5945945945945945</v>
      </c>
      <c r="AD27" s="30">
        <f t="shared" ca="1" si="18"/>
        <v>1.3214368097841465</v>
      </c>
      <c r="AE27" s="30">
        <f t="shared" ca="1" si="19"/>
        <v>1.375</v>
      </c>
      <c r="AF27" s="47">
        <f t="shared" ca="1" si="20"/>
        <v>1.375</v>
      </c>
      <c r="AG27" s="28">
        <f t="shared" ca="1" si="21"/>
        <v>5.1891891891891895</v>
      </c>
      <c r="AH27" s="25">
        <f t="shared" si="22"/>
        <v>240</v>
      </c>
      <c r="AI27" s="25" t="str">
        <f t="shared" ca="1" si="23"/>
        <v>neo1</v>
      </c>
      <c r="AJ27" s="25">
        <f t="shared" ca="1" si="24"/>
        <v>213.125</v>
      </c>
      <c r="AK27">
        <f t="shared" si="25"/>
        <v>147</v>
      </c>
      <c r="AL27">
        <f t="shared" si="26"/>
        <v>157.61662348876783</v>
      </c>
      <c r="AM27">
        <f t="shared" si="27"/>
        <v>37</v>
      </c>
      <c r="AN27">
        <f t="shared" ca="1" si="28"/>
        <v>61</v>
      </c>
      <c r="AO27">
        <f t="shared" ca="1" si="29"/>
        <v>67.882250993908556</v>
      </c>
      <c r="AP27">
        <f t="shared" ca="1" si="30"/>
        <v>37</v>
      </c>
      <c r="AQ27" t="str">
        <f t="shared" si="31"/>
        <v>ne1</v>
      </c>
      <c r="AR27">
        <f t="shared" ca="1" si="32"/>
        <v>37</v>
      </c>
      <c r="AS27" t="str">
        <f t="shared" ca="1" si="33"/>
        <v>ne</v>
      </c>
      <c r="AT27">
        <f t="shared" ca="1" si="34"/>
        <v>1</v>
      </c>
      <c r="AU27">
        <f t="shared" ca="1" si="35"/>
        <v>217.75</v>
      </c>
    </row>
    <row r="28" spans="1:47" x14ac:dyDescent="0.25">
      <c r="J28" s="40">
        <v>38</v>
      </c>
      <c r="K28" s="27">
        <f t="shared" si="0"/>
        <v>38</v>
      </c>
      <c r="L28" s="27">
        <f t="shared" si="1"/>
        <v>149</v>
      </c>
      <c r="M28" s="27">
        <f t="shared" si="2"/>
        <v>149</v>
      </c>
      <c r="N28" s="27">
        <f t="shared" si="3"/>
        <v>336</v>
      </c>
      <c r="O28" s="39">
        <f t="shared" si="4"/>
        <v>336</v>
      </c>
      <c r="P28" s="27">
        <f t="shared" si="5"/>
        <v>26.899427001447098</v>
      </c>
      <c r="Q28" s="27">
        <f t="shared" si="6"/>
        <v>3.9210526315789473</v>
      </c>
      <c r="R28" s="27">
        <f t="shared" si="7"/>
        <v>0.60458004491781336</v>
      </c>
      <c r="S28" s="27">
        <f t="shared" si="8"/>
        <v>1</v>
      </c>
      <c r="T28" s="27">
        <f t="shared" si="9"/>
        <v>1</v>
      </c>
      <c r="U28" s="53">
        <f t="shared" si="10"/>
        <v>9.8421052631578956</v>
      </c>
      <c r="V28" s="40">
        <v>38</v>
      </c>
      <c r="W28" s="30">
        <f t="shared" ca="1" si="11"/>
        <v>52.25</v>
      </c>
      <c r="X28" s="30">
        <f t="shared" ca="1" si="12"/>
        <v>61</v>
      </c>
      <c r="Y28" s="30">
        <f t="shared" ca="1" si="13"/>
        <v>83.875</v>
      </c>
      <c r="Z28" s="30">
        <f t="shared" ca="1" si="14"/>
        <v>160</v>
      </c>
      <c r="AA28" s="39">
        <f t="shared" ca="1" si="15"/>
        <v>220</v>
      </c>
      <c r="AB28" s="30">
        <f t="shared" ca="1" si="16"/>
        <v>266.65518940564948</v>
      </c>
      <c r="AC28" s="30">
        <f t="shared" ca="1" si="17"/>
        <v>1.6052631578947369</v>
      </c>
      <c r="AD28" s="30">
        <f t="shared" ca="1" si="18"/>
        <v>1.2855626330670562</v>
      </c>
      <c r="AE28" s="30">
        <f t="shared" ca="1" si="19"/>
        <v>1.375</v>
      </c>
      <c r="AF28" s="47">
        <f t="shared" ca="1" si="20"/>
        <v>1.375</v>
      </c>
      <c r="AG28" s="28">
        <f t="shared" ca="1" si="21"/>
        <v>5.2105263157894735</v>
      </c>
      <c r="AH28" s="25">
        <f t="shared" si="22"/>
        <v>240</v>
      </c>
      <c r="AI28" s="25" t="str">
        <f t="shared" ca="1" si="23"/>
        <v>neo1</v>
      </c>
      <c r="AJ28" s="25">
        <f t="shared" ca="1" si="24"/>
        <v>220</v>
      </c>
      <c r="AK28">
        <f t="shared" si="25"/>
        <v>151</v>
      </c>
      <c r="AL28">
        <f t="shared" si="26"/>
        <v>161.94675050769001</v>
      </c>
      <c r="AM28">
        <f t="shared" si="27"/>
        <v>38</v>
      </c>
      <c r="AN28">
        <f t="shared" ca="1" si="28"/>
        <v>63</v>
      </c>
      <c r="AO28">
        <f t="shared" ca="1" si="29"/>
        <v>70.003571337468202</v>
      </c>
      <c r="AP28">
        <f t="shared" ca="1" si="30"/>
        <v>38</v>
      </c>
      <c r="AQ28" t="str">
        <f t="shared" si="31"/>
        <v>ne1</v>
      </c>
      <c r="AR28" t="str">
        <f t="shared" ca="1" si="32"/>
        <v>ne1</v>
      </c>
      <c r="AS28" t="str">
        <f t="shared" ca="1" si="33"/>
        <v>ne</v>
      </c>
      <c r="AT28" t="str">
        <f t="shared" ca="1" si="34"/>
        <v>ne</v>
      </c>
      <c r="AU28">
        <f t="shared" ca="1" si="35"/>
        <v>217.75</v>
      </c>
    </row>
    <row r="29" spans="1:47" x14ac:dyDescent="0.25">
      <c r="E29">
        <v>10</v>
      </c>
      <c r="J29" s="40">
        <v>39</v>
      </c>
      <c r="K29" s="27">
        <f t="shared" si="0"/>
        <v>39</v>
      </c>
      <c r="L29" s="27">
        <f t="shared" si="1"/>
        <v>153</v>
      </c>
      <c r="M29" s="27">
        <f t="shared" si="2"/>
        <v>153</v>
      </c>
      <c r="N29" s="27">
        <f t="shared" si="3"/>
        <v>345</v>
      </c>
      <c r="O29" s="39">
        <f t="shared" si="4"/>
        <v>345</v>
      </c>
      <c r="P29" s="27">
        <f t="shared" si="5"/>
        <v>26.899427001447098</v>
      </c>
      <c r="Q29" s="27">
        <f t="shared" si="6"/>
        <v>3.9230769230769229</v>
      </c>
      <c r="R29" s="27">
        <f t="shared" si="7"/>
        <v>0.5890574025506794</v>
      </c>
      <c r="S29" s="27">
        <f t="shared" si="8"/>
        <v>1</v>
      </c>
      <c r="T29" s="27">
        <f t="shared" si="9"/>
        <v>1</v>
      </c>
      <c r="U29" s="53">
        <f t="shared" si="10"/>
        <v>9.8461538461538467</v>
      </c>
      <c r="V29" s="40">
        <v>39</v>
      </c>
      <c r="W29" s="30">
        <f t="shared" ca="1" si="11"/>
        <v>53.625</v>
      </c>
      <c r="X29" s="30">
        <f t="shared" ca="1" si="12"/>
        <v>62</v>
      </c>
      <c r="Y29" s="30">
        <f t="shared" ca="1" si="13"/>
        <v>85.25</v>
      </c>
      <c r="Z29" s="30">
        <f t="shared" ca="1" si="14"/>
        <v>163</v>
      </c>
      <c r="AA29" s="39">
        <f t="shared" ca="1" si="15"/>
        <v>224.125</v>
      </c>
      <c r="AB29" s="30">
        <f t="shared" ca="1" si="16"/>
        <v>266.65518940564948</v>
      </c>
      <c r="AC29" s="30">
        <f t="shared" ca="1" si="17"/>
        <v>1.5897435897435896</v>
      </c>
      <c r="AD29" s="30">
        <f t="shared" ca="1" si="18"/>
        <v>1.2541620974112242</v>
      </c>
      <c r="AE29" s="30">
        <f t="shared" ca="1" si="19"/>
        <v>1.375</v>
      </c>
      <c r="AF29" s="47">
        <f t="shared" ca="1" si="20"/>
        <v>1.375</v>
      </c>
      <c r="AG29" s="28">
        <f t="shared" ca="1" si="21"/>
        <v>5.1794871794871797</v>
      </c>
      <c r="AH29" s="25">
        <f t="shared" si="22"/>
        <v>240</v>
      </c>
      <c r="AI29" s="25" t="str">
        <f t="shared" ca="1" si="23"/>
        <v>neo1</v>
      </c>
      <c r="AJ29" s="25" t="str">
        <f t="shared" ca="1" si="24"/>
        <v>neo2</v>
      </c>
      <c r="AK29">
        <f t="shared" si="25"/>
        <v>155</v>
      </c>
      <c r="AL29">
        <f t="shared" si="26"/>
        <v>166.27687752661222</v>
      </c>
      <c r="AM29">
        <f t="shared" si="27"/>
        <v>39</v>
      </c>
      <c r="AN29">
        <f t="shared" ca="1" si="28"/>
        <v>64</v>
      </c>
      <c r="AO29">
        <f t="shared" ca="1" si="29"/>
        <v>71.417784899841294</v>
      </c>
      <c r="AP29">
        <f t="shared" ca="1" si="30"/>
        <v>39</v>
      </c>
      <c r="AQ29">
        <f t="shared" si="31"/>
        <v>39</v>
      </c>
      <c r="AR29" t="str">
        <f t="shared" ca="1" si="32"/>
        <v>ne1</v>
      </c>
      <c r="AS29" t="str">
        <f t="shared" ca="1" si="33"/>
        <v>ne</v>
      </c>
      <c r="AT29" t="str">
        <f t="shared" ca="1" si="34"/>
        <v>ne</v>
      </c>
      <c r="AU29">
        <f t="shared" ca="1" si="35"/>
        <v>217.75</v>
      </c>
    </row>
    <row r="30" spans="1:47" ht="15.75" thickBot="1" x14ac:dyDescent="0.3">
      <c r="E30" t="str">
        <f>IF(MOD(E29,2)=0,"sodo","liho")</f>
        <v>sodo</v>
      </c>
      <c r="J30" s="54">
        <v>40</v>
      </c>
      <c r="K30" s="55">
        <f t="shared" si="0"/>
        <v>40</v>
      </c>
      <c r="L30" s="55">
        <f t="shared" si="1"/>
        <v>157</v>
      </c>
      <c r="M30" s="55">
        <f t="shared" si="2"/>
        <v>157</v>
      </c>
      <c r="N30" s="55">
        <f t="shared" si="3"/>
        <v>354</v>
      </c>
      <c r="O30" s="56">
        <f t="shared" si="4"/>
        <v>354</v>
      </c>
      <c r="P30" s="27">
        <f t="shared" si="5"/>
        <v>26.899427001447098</v>
      </c>
      <c r="Q30" s="55">
        <f t="shared" si="6"/>
        <v>3.9249999999999998</v>
      </c>
      <c r="R30" s="55">
        <f t="shared" si="7"/>
        <v>0.57431191394320724</v>
      </c>
      <c r="S30" s="55">
        <f t="shared" si="8"/>
        <v>1</v>
      </c>
      <c r="T30" s="55">
        <f t="shared" si="9"/>
        <v>1</v>
      </c>
      <c r="U30" s="57">
        <f t="shared" si="10"/>
        <v>9.85</v>
      </c>
      <c r="V30" s="54">
        <v>40</v>
      </c>
      <c r="W30" s="41">
        <f t="shared" ca="1" si="11"/>
        <v>55</v>
      </c>
      <c r="X30" s="41">
        <f t="shared" ca="1" si="12"/>
        <v>64</v>
      </c>
      <c r="Y30" s="41">
        <f t="shared" ca="1" si="13"/>
        <v>88</v>
      </c>
      <c r="Z30" s="41">
        <f t="shared" ca="1" si="14"/>
        <v>168</v>
      </c>
      <c r="AA30" s="56">
        <f t="shared" ca="1" si="15"/>
        <v>231</v>
      </c>
      <c r="AB30" s="30">
        <f t="shared" ca="1" si="16"/>
        <v>266.65518940564948</v>
      </c>
      <c r="AC30" s="41">
        <f t="shared" ca="1" si="17"/>
        <v>1.6</v>
      </c>
      <c r="AD30" s="41">
        <f t="shared" ca="1" si="18"/>
        <v>1.2217982938602683</v>
      </c>
      <c r="AE30" s="41">
        <f t="shared" ca="1" si="19"/>
        <v>1.375</v>
      </c>
      <c r="AF30" s="59">
        <f t="shared" ca="1" si="20"/>
        <v>1.375</v>
      </c>
      <c r="AG30" s="29">
        <f t="shared" ca="1" si="21"/>
        <v>5.2</v>
      </c>
      <c r="AH30" s="25">
        <f t="shared" si="22"/>
        <v>240</v>
      </c>
      <c r="AI30" s="25" t="str">
        <f t="shared" ca="1" si="23"/>
        <v>neo1</v>
      </c>
      <c r="AJ30" s="25" t="str">
        <f t="shared" ca="1" si="24"/>
        <v>neo2</v>
      </c>
      <c r="AK30">
        <f t="shared" si="25"/>
        <v>159</v>
      </c>
      <c r="AL30">
        <f t="shared" si="26"/>
        <v>170.60700454553441</v>
      </c>
      <c r="AM30">
        <f t="shared" si="27"/>
        <v>40</v>
      </c>
      <c r="AN30">
        <f t="shared" ca="1" si="28"/>
        <v>66</v>
      </c>
      <c r="AO30">
        <f t="shared" ca="1" si="29"/>
        <v>73.53910524340094</v>
      </c>
      <c r="AP30">
        <f t="shared" ca="1" si="30"/>
        <v>40</v>
      </c>
      <c r="AQ30" t="str">
        <f t="shared" si="31"/>
        <v>ne1</v>
      </c>
      <c r="AR30">
        <f t="shared" ca="1" si="32"/>
        <v>40</v>
      </c>
      <c r="AS30" t="str">
        <f t="shared" ca="1" si="33"/>
        <v>ne</v>
      </c>
      <c r="AT30" t="str">
        <f t="shared" ca="1" si="34"/>
        <v>ne</v>
      </c>
      <c r="AU30">
        <f t="shared" ca="1" si="35"/>
        <v>217.75</v>
      </c>
    </row>
  </sheetData>
  <mergeCells count="12">
    <mergeCell ref="E15:F15"/>
    <mergeCell ref="G15:G16"/>
    <mergeCell ref="H15:H16"/>
    <mergeCell ref="J1:U1"/>
    <mergeCell ref="V1:AG1"/>
    <mergeCell ref="E14:H14"/>
    <mergeCell ref="N2:O2"/>
    <mergeCell ref="L2:M2"/>
    <mergeCell ref="J2:K2"/>
    <mergeCell ref="V2:W2"/>
    <mergeCell ref="X2:Y2"/>
    <mergeCell ref="Z2:AA2"/>
  </mergeCells>
  <conditionalFormatting sqref="C13">
    <cfRule type="cellIs" dxfId="20" priority="20" operator="greaterThan">
      <formula>10</formula>
    </cfRule>
  </conditionalFormatting>
  <conditionalFormatting sqref="J4:J30">
    <cfRule type="cellIs" dxfId="19" priority="18" operator="equal">
      <formula>AM4</formula>
    </cfRule>
  </conditionalFormatting>
  <conditionalFormatting sqref="V4:V30">
    <cfRule type="cellIs" dxfId="18" priority="17" operator="equal">
      <formula>AP4</formula>
    </cfRule>
  </conditionalFormatting>
  <conditionalFormatting sqref="O4:O30">
    <cfRule type="cellIs" dxfId="17" priority="9" operator="equal">
      <formula>AI4</formula>
    </cfRule>
  </conditionalFormatting>
  <conditionalFormatting sqref="AA4:AA30">
    <cfRule type="cellIs" dxfId="16" priority="8" operator="equal">
      <formula>AJ4</formula>
    </cfRule>
  </conditionalFormatting>
  <conditionalFormatting sqref="AB35:AH35">
    <cfRule type="cellIs" dxfId="15" priority="4" operator="equal">
      <formula>1</formula>
    </cfRule>
  </conditionalFormatting>
  <conditionalFormatting sqref="J4:U30">
    <cfRule type="expression" dxfId="14" priority="3">
      <formula>$AS4=1</formula>
    </cfRule>
  </conditionalFormatting>
  <conditionalFormatting sqref="V4:AG30">
    <cfRule type="expression" dxfId="13" priority="2">
      <formula>$AT4=1</formula>
    </cfRule>
  </conditionalFormatting>
  <conditionalFormatting sqref="C19">
    <cfRule type="cellIs" dxfId="12" priority="42" operator="greaterThan">
      <formula>$B$10-2*(5+2.25*$K$17)</formula>
    </cfRule>
  </conditionalFormatting>
  <conditionalFormatting sqref="H17">
    <cfRule type="cellIs" dxfId="11" priority="1" operator="between">
      <formula>-5</formula>
      <formula>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 altText="Test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8</xdr:col>
                    <xdr:colOff>228600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 altText="Test">
                <anchor mov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8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kletka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obroc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obroc1in2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6</xdr:col>
                    <xdr:colOff>590550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Label 14">
              <controlPr defaultSize="0" autoFill="0" autoLine="0" autoPict="0">
                <anchor moveWithCells="1" sizeWithCells="1">
                  <from>
                    <xdr:col>4</xdr:col>
                    <xdr:colOff>895350</xdr:colOff>
                    <xdr:row>6</xdr:row>
                    <xdr:rowOff>28575</xdr:rowOff>
                  </from>
                  <to>
                    <xdr:col>7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Label 15">
              <controlPr defaultSize="0" autoFill="0" autoLine="0" autoPict="0">
                <anchor moveWithCells="1" sizeWithCells="1">
                  <from>
                    <xdr:col>5</xdr:col>
                    <xdr:colOff>400050</xdr:colOff>
                    <xdr:row>8</xdr:row>
                    <xdr:rowOff>200025</xdr:rowOff>
                  </from>
                  <to>
                    <xdr:col>8</xdr:col>
                    <xdr:colOff>476250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M56"/>
  <sheetViews>
    <sheetView topLeftCell="A22" zoomScaleNormal="100" workbookViewId="0">
      <selection activeCell="F46" sqref="F46"/>
    </sheetView>
  </sheetViews>
  <sheetFormatPr defaultRowHeight="15" x14ac:dyDescent="0.25"/>
  <cols>
    <col min="1" max="1" width="16.42578125" bestFit="1" customWidth="1"/>
    <col min="2" max="3" width="12.7109375" bestFit="1" customWidth="1"/>
    <col min="4" max="4" width="12" bestFit="1" customWidth="1"/>
    <col min="5" max="5" width="16.42578125" bestFit="1" customWidth="1"/>
    <col min="6" max="7" width="12.7109375" bestFit="1" customWidth="1"/>
    <col min="8" max="8" width="12" bestFit="1" customWidth="1"/>
    <col min="9" max="9" width="13.140625" bestFit="1" customWidth="1"/>
    <col min="10" max="10" width="15.5703125" bestFit="1" customWidth="1"/>
    <col min="11" max="11" width="12" bestFit="1" customWidth="1"/>
    <col min="12" max="12" width="16.28515625" bestFit="1" customWidth="1"/>
    <col min="13" max="13" width="12" bestFit="1" customWidth="1"/>
    <col min="14" max="14" width="16.28515625" bestFit="1" customWidth="1"/>
    <col min="15" max="15" width="9.85546875" customWidth="1"/>
  </cols>
  <sheetData>
    <row r="1" spans="1:10" ht="15.75" thickBot="1" x14ac:dyDescent="0.3">
      <c r="A1" s="223" t="s">
        <v>77</v>
      </c>
      <c r="B1" s="224"/>
      <c r="C1" s="224"/>
      <c r="D1" s="225"/>
      <c r="E1" s="223" t="s">
        <v>15</v>
      </c>
      <c r="F1" s="224"/>
      <c r="G1" s="224"/>
      <c r="H1" s="225"/>
    </row>
    <row r="2" spans="1:10" ht="15.75" thickTop="1" x14ac:dyDescent="0.25">
      <c r="A2" s="160" t="s">
        <v>51</v>
      </c>
      <c r="B2" s="161" t="s">
        <v>50</v>
      </c>
      <c r="C2" s="128"/>
      <c r="D2" s="135"/>
      <c r="E2" s="162" t="s">
        <v>51</v>
      </c>
      <c r="F2" s="161" t="s">
        <v>50</v>
      </c>
      <c r="G2" s="128"/>
      <c r="H2" s="135"/>
    </row>
    <row r="3" spans="1:10" x14ac:dyDescent="0.25">
      <c r="A3" s="130" t="s">
        <v>44</v>
      </c>
      <c r="B3" s="20">
        <v>22</v>
      </c>
      <c r="C3" s="118" t="s">
        <v>7</v>
      </c>
      <c r="D3" s="131"/>
      <c r="E3" s="152" t="s">
        <v>44</v>
      </c>
      <c r="F3" s="20">
        <v>45</v>
      </c>
      <c r="G3" s="118" t="s">
        <v>7</v>
      </c>
      <c r="H3" s="131"/>
    </row>
    <row r="4" spans="1:10" x14ac:dyDescent="0.25">
      <c r="A4" s="130" t="s">
        <v>164</v>
      </c>
      <c r="B4" s="106">
        <f ca="1">B3/C13</f>
        <v>0.95652173913043481</v>
      </c>
      <c r="C4" s="118"/>
      <c r="D4" s="131"/>
      <c r="E4" s="152" t="s">
        <v>164</v>
      </c>
      <c r="F4" s="106">
        <f ca="1">F3/G13</f>
        <v>0.88452088452088451</v>
      </c>
      <c r="G4" s="118"/>
      <c r="H4" s="131"/>
    </row>
    <row r="5" spans="1:10" x14ac:dyDescent="0.25">
      <c r="A5" s="194" t="s">
        <v>165</v>
      </c>
      <c r="B5" s="106">
        <f>Korak_2!B8</f>
        <v>0</v>
      </c>
      <c r="C5" s="119" t="s">
        <v>54</v>
      </c>
      <c r="D5" s="131"/>
      <c r="E5" s="194" t="s">
        <v>165</v>
      </c>
      <c r="F5" s="106">
        <f>Korak_2!C8</f>
        <v>0</v>
      </c>
      <c r="G5" s="118" t="s">
        <v>54</v>
      </c>
      <c r="H5" s="131"/>
    </row>
    <row r="6" spans="1:10" ht="15.75" x14ac:dyDescent="0.25">
      <c r="A6" s="132" t="s">
        <v>46</v>
      </c>
      <c r="B6" s="191">
        <v>380</v>
      </c>
      <c r="C6" s="118" t="s">
        <v>53</v>
      </c>
      <c r="D6" s="131"/>
      <c r="E6" s="153" t="s">
        <v>46</v>
      </c>
      <c r="F6" s="192">
        <f>B6</f>
        <v>380</v>
      </c>
      <c r="G6" s="118" t="s">
        <v>53</v>
      </c>
      <c r="H6" s="131"/>
      <c r="J6" s="48"/>
    </row>
    <row r="7" spans="1:10" ht="15.75" x14ac:dyDescent="0.25">
      <c r="A7" s="132" t="s">
        <v>47</v>
      </c>
      <c r="B7" s="192">
        <v>1270</v>
      </c>
      <c r="C7" s="128" t="s">
        <v>53</v>
      </c>
      <c r="D7" s="131"/>
      <c r="E7" s="153" t="s">
        <v>47</v>
      </c>
      <c r="F7" s="192">
        <f>B7</f>
        <v>1270</v>
      </c>
      <c r="G7" s="118" t="s">
        <v>53</v>
      </c>
      <c r="H7" s="131"/>
    </row>
    <row r="8" spans="1:10" x14ac:dyDescent="0.25">
      <c r="A8" s="130" t="s">
        <v>154</v>
      </c>
      <c r="B8" s="20">
        <v>4</v>
      </c>
      <c r="C8" s="118"/>
      <c r="D8" s="131"/>
      <c r="E8" s="152" t="s">
        <v>154</v>
      </c>
      <c r="F8" s="20">
        <v>4</v>
      </c>
      <c r="G8" s="118"/>
      <c r="H8" s="131"/>
    </row>
    <row r="9" spans="1:10" x14ac:dyDescent="0.25">
      <c r="A9" s="130" t="s">
        <v>42</v>
      </c>
      <c r="B9" s="106">
        <f>Korak_2!B11</f>
        <v>3</v>
      </c>
      <c r="C9" s="118"/>
      <c r="D9" s="131"/>
      <c r="E9" s="152" t="s">
        <v>42</v>
      </c>
      <c r="F9" s="106">
        <f>Korak_2!C11</f>
        <v>4</v>
      </c>
      <c r="G9" s="118"/>
      <c r="H9" s="131"/>
    </row>
    <row r="10" spans="1:10" x14ac:dyDescent="0.25">
      <c r="A10" s="130" t="s">
        <v>52</v>
      </c>
      <c r="B10" s="106">
        <f ca="1">INDIRECT("Korak_2!S"&amp;(INDIRECT("Korak_2!E17")-10))</f>
        <v>1</v>
      </c>
      <c r="C10" s="118"/>
      <c r="D10" s="131"/>
      <c r="E10" s="152" t="s">
        <v>52</v>
      </c>
      <c r="F10" s="106">
        <f ca="1">INDIRECT("Korak_2!AE"&amp;(INDIRECT("Korak_2!F17")-10))</f>
        <v>1.375</v>
      </c>
      <c r="G10" s="118"/>
      <c r="H10" s="131"/>
    </row>
    <row r="11" spans="1:10" x14ac:dyDescent="0.25">
      <c r="A11" s="130" t="s">
        <v>55</v>
      </c>
      <c r="B11" s="106">
        <f ca="1">B10/COS(B5*PI()/180)</f>
        <v>1</v>
      </c>
      <c r="C11" s="105" t="s">
        <v>28</v>
      </c>
      <c r="D11" s="93">
        <f ca="1">B14+B15</f>
        <v>296</v>
      </c>
      <c r="E11" s="152" t="s">
        <v>55</v>
      </c>
      <c r="F11" s="106">
        <f ca="1">F10/COS(F5*PI()/180)</f>
        <v>1.375</v>
      </c>
      <c r="G11" s="105" t="s">
        <v>28</v>
      </c>
      <c r="H11" s="94">
        <f ca="1">F14+F15</f>
        <v>214</v>
      </c>
    </row>
    <row r="12" spans="1:10" x14ac:dyDescent="0.25">
      <c r="A12" s="130"/>
      <c r="B12" s="105" t="s">
        <v>23</v>
      </c>
      <c r="C12" s="105" t="s">
        <v>24</v>
      </c>
      <c r="D12" s="133" t="s">
        <v>25</v>
      </c>
      <c r="E12" s="152"/>
      <c r="F12" s="105" t="s">
        <v>23</v>
      </c>
      <c r="G12" s="105" t="s">
        <v>24</v>
      </c>
      <c r="H12" s="133" t="s">
        <v>25</v>
      </c>
    </row>
    <row r="13" spans="1:10" x14ac:dyDescent="0.25">
      <c r="A13" s="130" t="s">
        <v>20</v>
      </c>
      <c r="B13" s="106">
        <f ca="1">INDIRECT("Korak_2!j"&amp;(INDIRECT("Korak_2!E17")-10))</f>
        <v>23</v>
      </c>
      <c r="C13" s="106">
        <f ca="1">B13*B11</f>
        <v>23</v>
      </c>
      <c r="D13" s="93">
        <f ca="1">C13+2*$B$11</f>
        <v>25</v>
      </c>
      <c r="E13" s="152" t="s">
        <v>20</v>
      </c>
      <c r="F13" s="106">
        <f ca="1">INDIRECT("Korak_2!v"&amp;(INDIRECT("Korak_2!F17")-10))</f>
        <v>37</v>
      </c>
      <c r="G13" s="106">
        <f ca="1">F13*F11</f>
        <v>50.875</v>
      </c>
      <c r="H13" s="93">
        <f ca="1">G13+2*$F$11</f>
        <v>53.625</v>
      </c>
    </row>
    <row r="14" spans="1:10" x14ac:dyDescent="0.25">
      <c r="A14" s="130" t="s">
        <v>21</v>
      </c>
      <c r="B14" s="106">
        <f ca="1">INDIRECT("Korak_2!L"&amp;(INDIRECT("Korak_2!E17")-10))</f>
        <v>91</v>
      </c>
      <c r="C14" s="106">
        <f ca="1">B14*B11</f>
        <v>91</v>
      </c>
      <c r="D14" s="93">
        <f ca="1">C14+2*$B$11</f>
        <v>93</v>
      </c>
      <c r="E14" s="152" t="s">
        <v>21</v>
      </c>
      <c r="F14" s="106">
        <f ca="1">INDIRECT("Korak_2!x"&amp;(INDIRECT("Korak_2!F17")-10))</f>
        <v>59</v>
      </c>
      <c r="G14" s="106">
        <f ca="1">F14*F11</f>
        <v>81.125</v>
      </c>
      <c r="H14" s="93">
        <f ca="1">G14+2*$F$11</f>
        <v>83.875</v>
      </c>
    </row>
    <row r="15" spans="1:10" x14ac:dyDescent="0.25">
      <c r="A15" s="130" t="s">
        <v>29</v>
      </c>
      <c r="B15" s="106">
        <f ca="1">INDIRECT("Korak_2!N"&amp;(INDIRECT("Korak_2!E17")-10))</f>
        <v>205</v>
      </c>
      <c r="C15" s="106">
        <f ca="1">B15*B11</f>
        <v>205</v>
      </c>
      <c r="D15" s="93">
        <f ca="1">C15-2*$B$11</f>
        <v>203</v>
      </c>
      <c r="E15" s="152" t="s">
        <v>29</v>
      </c>
      <c r="F15" s="106">
        <f ca="1">INDIRECT("Korak_2!z"&amp;(INDIRECT("Korak_2!F17")-10))</f>
        <v>155</v>
      </c>
      <c r="G15" s="106">
        <f ca="1">F15*F11</f>
        <v>213.125</v>
      </c>
      <c r="H15" s="93">
        <f ca="1">G15-2*$F$11</f>
        <v>210.375</v>
      </c>
    </row>
    <row r="16" spans="1:10" x14ac:dyDescent="0.25">
      <c r="A16" s="130" t="s">
        <v>17</v>
      </c>
      <c r="B16" s="129">
        <f ca="1">-B15/B13</f>
        <v>-8.9130434782608692</v>
      </c>
      <c r="C16" s="119"/>
      <c r="D16" s="134"/>
      <c r="E16" s="152" t="s">
        <v>17</v>
      </c>
      <c r="F16" s="129">
        <f ca="1">-F15/F13</f>
        <v>-4.1891891891891895</v>
      </c>
      <c r="G16" s="119"/>
      <c r="H16" s="134"/>
    </row>
    <row r="17" spans="1:8" x14ac:dyDescent="0.25">
      <c r="A17" s="130" t="s">
        <v>18</v>
      </c>
      <c r="B17" s="129">
        <f ca="1">1-B16</f>
        <v>9.9130434782608692</v>
      </c>
      <c r="C17" s="128"/>
      <c r="D17" s="135"/>
      <c r="E17" s="152" t="s">
        <v>18</v>
      </c>
      <c r="F17" s="129">
        <f ca="1">1-F16</f>
        <v>5.1891891891891895</v>
      </c>
      <c r="G17" s="128"/>
      <c r="H17" s="135"/>
    </row>
    <row r="18" spans="1:8" ht="15.75" thickBot="1" x14ac:dyDescent="0.3">
      <c r="A18" s="229" t="s">
        <v>30</v>
      </c>
      <c r="B18" s="230"/>
      <c r="C18" s="230"/>
      <c r="D18" s="231"/>
      <c r="E18" s="229" t="s">
        <v>30</v>
      </c>
      <c r="F18" s="230"/>
      <c r="G18" s="230"/>
      <c r="H18" s="231"/>
    </row>
    <row r="19" spans="1:8" ht="15.75" thickTop="1" x14ac:dyDescent="0.25">
      <c r="A19" s="163" t="s">
        <v>32</v>
      </c>
      <c r="B19" s="164">
        <f>Korak_1!C4/(2*PI()*Korak_1!C5)</f>
        <v>26.899427001447098</v>
      </c>
      <c r="C19" s="47" t="s">
        <v>31</v>
      </c>
      <c r="D19" s="165"/>
      <c r="E19" s="166" t="s">
        <v>32</v>
      </c>
      <c r="F19" s="164">
        <f ca="1">B21</f>
        <v>-266.65518940564948</v>
      </c>
      <c r="G19" s="47" t="s">
        <v>31</v>
      </c>
      <c r="H19" s="165"/>
    </row>
    <row r="20" spans="1:8" x14ac:dyDescent="0.25">
      <c r="A20" s="136" t="s">
        <v>33</v>
      </c>
      <c r="B20" s="107">
        <f ca="1">B19*B16*-1</f>
        <v>239.75576240420239</v>
      </c>
      <c r="C20" s="120" t="s">
        <v>31</v>
      </c>
      <c r="D20" s="137"/>
      <c r="E20" s="154" t="s">
        <v>33</v>
      </c>
      <c r="F20" s="107">
        <f ca="1">F19*F16*-1</f>
        <v>-1117.0690366993424</v>
      </c>
      <c r="G20" s="120" t="s">
        <v>31</v>
      </c>
      <c r="H20" s="137"/>
    </row>
    <row r="21" spans="1:8" x14ac:dyDescent="0.25">
      <c r="A21" s="136" t="s">
        <v>34</v>
      </c>
      <c r="B21" s="107">
        <f ca="1">-(1-B16)*B19</f>
        <v>-266.65518940564948</v>
      </c>
      <c r="C21" s="120" t="s">
        <v>31</v>
      </c>
      <c r="D21" s="137"/>
      <c r="E21" s="154" t="s">
        <v>34</v>
      </c>
      <c r="F21" s="107">
        <f ca="1">-(1-F16)*F19</f>
        <v>1383.7242261049919</v>
      </c>
      <c r="G21" s="120" t="s">
        <v>31</v>
      </c>
      <c r="H21" s="137"/>
    </row>
    <row r="22" spans="1:8" ht="15.75" thickBot="1" x14ac:dyDescent="0.3">
      <c r="A22" s="232" t="s">
        <v>35</v>
      </c>
      <c r="B22" s="233"/>
      <c r="C22" s="233"/>
      <c r="D22" s="234"/>
      <c r="E22" s="232" t="s">
        <v>35</v>
      </c>
      <c r="F22" s="233"/>
      <c r="G22" s="233"/>
      <c r="H22" s="234"/>
    </row>
    <row r="23" spans="1:8" ht="15.75" thickTop="1" x14ac:dyDescent="0.25">
      <c r="A23" s="167" t="s">
        <v>36</v>
      </c>
      <c r="B23" s="168">
        <f ca="1">2*B19*1000/($B$9*C13)</f>
        <v>779.69353627382884</v>
      </c>
      <c r="C23" s="169" t="s">
        <v>3</v>
      </c>
      <c r="D23" s="170"/>
      <c r="E23" s="171" t="s">
        <v>36</v>
      </c>
      <c r="F23" s="168">
        <f ca="1">2*F19*1000/($F$9*G13)</f>
        <v>-2620.6898221685456</v>
      </c>
      <c r="G23" s="169" t="s">
        <v>3</v>
      </c>
      <c r="H23" s="170"/>
    </row>
    <row r="24" spans="1:8" x14ac:dyDescent="0.25">
      <c r="A24" s="138" t="s">
        <v>37</v>
      </c>
      <c r="B24" s="108">
        <f ca="1">2*B20*1000/($B$9*C15)</f>
        <v>779.69353627382895</v>
      </c>
      <c r="C24" s="121" t="s">
        <v>3</v>
      </c>
      <c r="D24" s="139"/>
      <c r="E24" s="155" t="s">
        <v>37</v>
      </c>
      <c r="F24" s="108">
        <f ca="1">2*F20*1000/($F$9*G15)</f>
        <v>-2620.6898221685451</v>
      </c>
      <c r="G24" s="121" t="s">
        <v>3</v>
      </c>
      <c r="H24" s="139"/>
    </row>
    <row r="25" spans="1:8" x14ac:dyDescent="0.25">
      <c r="A25" s="138" t="s">
        <v>38</v>
      </c>
      <c r="B25" s="108">
        <f ca="1">B21*1000/($B$9*(C13+C14)/2)</f>
        <v>-1559.3870725476579</v>
      </c>
      <c r="C25" s="121" t="s">
        <v>3</v>
      </c>
      <c r="D25" s="139"/>
      <c r="E25" s="155" t="s">
        <v>38</v>
      </c>
      <c r="F25" s="108">
        <f ca="1">F21*1000/($F$9*(G13+G14)/2)</f>
        <v>5241.3796443370911</v>
      </c>
      <c r="G25" s="121" t="s">
        <v>3</v>
      </c>
      <c r="H25" s="139"/>
    </row>
    <row r="26" spans="1:8" ht="15.75" thickBot="1" x14ac:dyDescent="0.3">
      <c r="A26" s="235" t="s">
        <v>113</v>
      </c>
      <c r="B26" s="236"/>
      <c r="C26" s="236"/>
      <c r="D26" s="237"/>
      <c r="E26" s="239" t="s">
        <v>113</v>
      </c>
      <c r="F26" s="236"/>
      <c r="G26" s="236"/>
      <c r="H26" s="237"/>
    </row>
    <row r="27" spans="1:8" ht="15.75" thickTop="1" x14ac:dyDescent="0.25">
      <c r="A27" s="172" t="s">
        <v>128</v>
      </c>
      <c r="B27" s="173">
        <v>8</v>
      </c>
      <c r="C27" s="174" t="s">
        <v>151</v>
      </c>
      <c r="D27" s="175" t="s">
        <v>44</v>
      </c>
      <c r="E27" s="176" t="s">
        <v>128</v>
      </c>
      <c r="F27" s="173">
        <v>8</v>
      </c>
      <c r="G27" s="174" t="s">
        <v>151</v>
      </c>
      <c r="H27" s="175" t="s">
        <v>44</v>
      </c>
    </row>
    <row r="28" spans="1:8" x14ac:dyDescent="0.25">
      <c r="A28" s="140" t="s">
        <v>99</v>
      </c>
      <c r="B28" s="110">
        <f ca="1">30.48424863/(B13^1.19870133)+2.07436008</f>
        <v>2.7851979010482584</v>
      </c>
      <c r="C28" s="109" t="s">
        <v>152</v>
      </c>
      <c r="D28" s="199">
        <v>10000000</v>
      </c>
      <c r="E28" s="123" t="s">
        <v>99</v>
      </c>
      <c r="F28" s="110">
        <f ca="1">30.48424863/(F13^1.19870133)+2.07436008</f>
        <v>2.4764007635773861</v>
      </c>
      <c r="G28" s="109" t="s">
        <v>152</v>
      </c>
      <c r="H28" s="199">
        <v>10000000</v>
      </c>
    </row>
    <row r="29" spans="1:8" x14ac:dyDescent="0.25">
      <c r="A29" s="140" t="s">
        <v>100</v>
      </c>
      <c r="B29" s="110">
        <f ca="1">0.21851279*LOG(2.59057333*B13)+0.73735273</f>
        <v>1.1252399679985827</v>
      </c>
      <c r="C29" s="109" t="s">
        <v>108</v>
      </c>
      <c r="D29" s="141">
        <v>2</v>
      </c>
      <c r="E29" s="123" t="s">
        <v>100</v>
      </c>
      <c r="F29" s="110">
        <f ca="1">0.21851279*LOG(2.59057333*F13)+0.73735273</f>
        <v>1.1703571533384052</v>
      </c>
      <c r="G29" s="109" t="s">
        <v>108</v>
      </c>
      <c r="H29" s="141">
        <v>2</v>
      </c>
    </row>
    <row r="30" spans="1:8" x14ac:dyDescent="0.25">
      <c r="A30" s="140" t="s">
        <v>126</v>
      </c>
      <c r="B30" s="110">
        <f ca="1">(SQRT(D13^2-(C13*COS(20*PI()/180))^2)+SQRT(D14^2-(C14*COS(20*PI()/180))^2)-(C13+C14)*SIN(20*PI()/180))/(2*PI()*B11*COS(20*PI()/180))</f>
        <v>1.7166573348970822</v>
      </c>
      <c r="C30" s="109" t="s">
        <v>109</v>
      </c>
      <c r="D30" s="141">
        <f>IF(D27="a",IF(D28&lt;10^4,2.5,IF(D28&gt;3*10^6,1,1*(D28/(3*10^6))^(-0.16064616))),IF(D27="b",IF(D28&lt;10^3,2.5,IF(D28&gt;3*10^6,1,1*(D28/(3*10^6))^(-0.11444525))),IF(D27="c",IF(D28&lt;10^3,1.6,IF(D28&gt;3*10^6,1,1*(D28/(3*10^6))^(-0.05870373))),"NAPAKA I26")))</f>
        <v>1</v>
      </c>
      <c r="E30" s="123" t="s">
        <v>126</v>
      </c>
      <c r="F30" s="110">
        <f ca="1">(SQRT(H13^2-(G13*COS(20*PI()/180))^2)+SQRT(H14^2-(G14*COS(20*PI()/180))^2)-(G13+G14)*SIN(20*PI()/180))/(2*PI()*F11*COS(20*PI()/180))</f>
        <v>1.7400550329719879</v>
      </c>
      <c r="G30" s="109" t="s">
        <v>109</v>
      </c>
      <c r="H30" s="141">
        <f>IF(H27="a",IF(H28&lt;10^4,2.5,IF(H28&gt;3*10^6,1,1*(H28/(3*10^6))^(-0.16064616))),IF(H27="b",IF(H28&lt;10^3,2.5,IF(H28&gt;3*10^6,1,1*(H28/(3*10^6))^(-0.11444525))),IF(H27="c",IF(H28&lt;10^3,1.6,IF(H28&gt;3*10^6,1,1*(H28/(3*10^6))^(-0.05870373))),"NAPAKA I26")))</f>
        <v>1</v>
      </c>
    </row>
    <row r="31" spans="1:8" x14ac:dyDescent="0.25">
      <c r="A31" s="140" t="s">
        <v>101</v>
      </c>
      <c r="B31" s="110">
        <f ca="1">0.25+0.75*COS(B5)^2/B30</f>
        <v>0.68689557884012098</v>
      </c>
      <c r="C31" s="109" t="s">
        <v>110</v>
      </c>
      <c r="D31" s="141">
        <v>1</v>
      </c>
      <c r="E31" s="123" t="s">
        <v>101</v>
      </c>
      <c r="F31" s="110">
        <f ca="1">0.25+0.75*COS(F5)^2/F30</f>
        <v>0.68102085036874449</v>
      </c>
      <c r="G31" s="109" t="s">
        <v>110</v>
      </c>
      <c r="H31" s="141">
        <v>1</v>
      </c>
    </row>
    <row r="32" spans="1:8" x14ac:dyDescent="0.25">
      <c r="A32" s="140" t="s">
        <v>127</v>
      </c>
      <c r="B32" s="110">
        <f ca="1">B3*SIN(B5*PI()/180)/(B10*PI())</f>
        <v>0</v>
      </c>
      <c r="C32" s="109" t="s">
        <v>153</v>
      </c>
      <c r="D32" s="141">
        <f>-0.37962368*(B8*0.81654938)^0.11156858+1.48249712</f>
        <v>1.0492813271172583</v>
      </c>
      <c r="E32" s="123" t="s">
        <v>127</v>
      </c>
      <c r="F32" s="110">
        <f ca="1">F3*SIN(F5*PI()/180)/(F10*PI())</f>
        <v>0</v>
      </c>
      <c r="G32" s="109" t="s">
        <v>153</v>
      </c>
      <c r="H32" s="141">
        <f>-0.37962368*(F8*0.81654938)^0.11156858+1.48249712</f>
        <v>1.0492813271172583</v>
      </c>
    </row>
    <row r="33" spans="1:8" x14ac:dyDescent="0.25">
      <c r="A33" s="140" t="s">
        <v>102</v>
      </c>
      <c r="B33" s="110">
        <f ca="1">IF(B5&gt;30,1-B32*30/120,1-B32*B5/120)</f>
        <v>1</v>
      </c>
      <c r="C33" s="109" t="s">
        <v>111</v>
      </c>
      <c r="D33" s="141">
        <v>1</v>
      </c>
      <c r="E33" s="123" t="s">
        <v>102</v>
      </c>
      <c r="F33" s="110">
        <f ca="1">IF(F5&gt;30,1-F32*30/120,1-F32*F5/120)</f>
        <v>1</v>
      </c>
      <c r="G33" s="109" t="s">
        <v>111</v>
      </c>
      <c r="H33" s="141">
        <v>1</v>
      </c>
    </row>
    <row r="34" spans="1:8" x14ac:dyDescent="0.25">
      <c r="A34" s="140" t="s">
        <v>129</v>
      </c>
      <c r="B34" s="110">
        <f ca="1">B23/B3</f>
        <v>35.44061528517404</v>
      </c>
      <c r="C34" s="122" t="s">
        <v>130</v>
      </c>
      <c r="D34" s="159"/>
      <c r="E34" s="123" t="s">
        <v>129</v>
      </c>
      <c r="F34" s="110">
        <f ca="1">ABS(F23/F3)</f>
        <v>58.237551603745459</v>
      </c>
      <c r="G34" s="111" t="s">
        <v>130</v>
      </c>
      <c r="H34" s="142"/>
    </row>
    <row r="35" spans="1:8" x14ac:dyDescent="0.25">
      <c r="A35" s="140" t="s">
        <v>103</v>
      </c>
      <c r="B35" s="110">
        <f ca="1">IF(B34&gt;=100,INDIRECT("Pomožno!"&amp;ADDRESS(IF(B5=0,2,3),($B$27-4))),INDIRECT("Pomožno!"&amp;ADDRESS(IF(B5=0,2,3),(9))))</f>
        <v>1.4558253551268758</v>
      </c>
      <c r="C35" s="122"/>
      <c r="D35" s="159"/>
      <c r="E35" s="123" t="s">
        <v>103</v>
      </c>
      <c r="F35" s="110">
        <f ca="1">IF(F34&gt;=100,INDIRECT("Pomožno!"&amp;ADDRESS(IF(F5=0,2,3),($B$27-4))),INDIRECT("Pomožno!"&amp;ADDRESS(IF(F5=0,2,3),(9))))</f>
        <v>1.4558253551268758</v>
      </c>
      <c r="G35" s="111"/>
      <c r="H35" s="142"/>
    </row>
    <row r="36" spans="1:8" x14ac:dyDescent="0.25">
      <c r="A36" s="140" t="s">
        <v>135</v>
      </c>
      <c r="B36" s="110">
        <f ca="1">INDIRECT("Pomožno!"&amp;ADDRESS(8,IF(B3&lt;=20,2,IF(B3&lt;=40,3,IF(B3&lt;=100,4,IF(B3&lt;=200,5,IF(B3&lt;=315,6,IF(B3&lt;=560,7,8))))))))</f>
        <v>7</v>
      </c>
      <c r="C36" s="124" t="s">
        <v>144</v>
      </c>
      <c r="D36" s="159"/>
      <c r="E36" s="123" t="s">
        <v>135</v>
      </c>
      <c r="F36" s="110">
        <f ca="1">INDIRECT("Pomožno!"&amp;ADDRESS(8,IF(F3&lt;=20,2,IF(F3&lt;=40,3,IF(F3&lt;=100,4,IF(F3&lt;=200,5,IF(F3&lt;=315,6,IF(F3&lt;=560,7,8))))))))</f>
        <v>8</v>
      </c>
      <c r="G36" s="112" t="s">
        <v>144</v>
      </c>
      <c r="H36" s="142"/>
    </row>
    <row r="37" spans="1:8" x14ac:dyDescent="0.25">
      <c r="A37" s="140" t="s">
        <v>136</v>
      </c>
      <c r="B37" s="110">
        <f ca="1">INDIRECT("Pomožno!"&amp;ADDRESS(B27+5,IF(B3&lt;=20,2,IF(B3&lt;=40,3,4))))</f>
        <v>18</v>
      </c>
      <c r="C37" s="124" t="s">
        <v>144</v>
      </c>
      <c r="D37" s="159"/>
      <c r="E37" s="123" t="s">
        <v>136</v>
      </c>
      <c r="F37" s="110">
        <f ca="1">INDIRECT("Pomožno!"&amp;ADDRESS(F27+5,IF(F3&lt;=20,2,IF(F3&lt;=40,3,4))))</f>
        <v>20</v>
      </c>
      <c r="G37" s="112" t="s">
        <v>144</v>
      </c>
      <c r="H37" s="142"/>
    </row>
    <row r="38" spans="1:8" x14ac:dyDescent="0.25">
      <c r="A38" s="140" t="s">
        <v>134</v>
      </c>
      <c r="B38" s="110">
        <f ca="1">B37+B36</f>
        <v>25</v>
      </c>
      <c r="C38" s="124" t="s">
        <v>144</v>
      </c>
      <c r="D38" s="159"/>
      <c r="E38" s="123" t="s">
        <v>134</v>
      </c>
      <c r="F38" s="110">
        <f ca="1">F37+F36</f>
        <v>28</v>
      </c>
      <c r="G38" s="112" t="s">
        <v>144</v>
      </c>
      <c r="H38" s="142"/>
    </row>
    <row r="39" spans="1:8" x14ac:dyDescent="0.25">
      <c r="A39" s="140" t="s">
        <v>148</v>
      </c>
      <c r="B39" s="110">
        <f ca="1">IF(B38&lt;50,7.76414552+1.23510165*B38+0.00926019974*B38^2-0.0000876186868*B38^3-0.00000340861186*B38^2*B7+0.000000927950283*B7^2*B38-0.00196236516*B38*B7-0.033525795*B7+0.0000474223798*B7^2-0.0000000208333411*B7^3,-0.0000000520833302*B7^3+0.000160714278*B7^2-0.175059518*B7+79.5999987)</f>
        <v>6.7020004056212059</v>
      </c>
      <c r="C39" s="124" t="s">
        <v>144</v>
      </c>
      <c r="D39" s="159"/>
      <c r="E39" s="123" t="s">
        <v>148</v>
      </c>
      <c r="F39" s="110">
        <f ca="1">IF(F38&lt;50,7.76414552+1.23510165*F38+0.00926019974*F38^2-0.0000876186868*F38^3-0.00000340861186*F38^2*F7+0.000000927950283*F7^2*F38-0.00196236516*F38*F7-0.033525795*F7+0.0000474223798*F7^2-0.0000000208333411*F7^3,-0.0000000520833302*F7^3+0.000160714278*F7^2-0.175059518*F7+79.5999987)</f>
        <v>7.6504744647599026</v>
      </c>
      <c r="G39" s="112" t="s">
        <v>144</v>
      </c>
      <c r="H39" s="142"/>
    </row>
    <row r="40" spans="1:8" x14ac:dyDescent="0.25">
      <c r="A40" s="140" t="s">
        <v>147</v>
      </c>
      <c r="B40" s="110">
        <f ca="1">B38-B39</f>
        <v>18.297999594378794</v>
      </c>
      <c r="C40" s="124" t="s">
        <v>144</v>
      </c>
      <c r="D40" s="159"/>
      <c r="E40" s="123" t="s">
        <v>147</v>
      </c>
      <c r="F40" s="110">
        <f ca="1">F38-F39</f>
        <v>20.349525535240097</v>
      </c>
      <c r="G40" s="112" t="s">
        <v>144</v>
      </c>
      <c r="H40" s="142"/>
    </row>
    <row r="41" spans="1:8" x14ac:dyDescent="0.25">
      <c r="A41" s="140" t="s">
        <v>157</v>
      </c>
      <c r="B41" s="110">
        <f ca="1">IF(B34&lt;100,3.01068359-1.16238545*LN(B40)+0.0769065987*B40-0.00105506843*B40^2+0.0000061777433*B40^3, 0.439450974*LN(B40)-0.0589545917*B40+0.000864585484*B40^2--0.0000050245833*B40^3+0.0271795536*B34-0.000000694700018*B34^2-0.0135466465*LN(B40)*B34+0.00111506771*B40*B34-0.0000163031577*B40^2*B34+0.000000100726405*B40^3*B34-0.0188628461)</f>
        <v>0.7237012557162148</v>
      </c>
      <c r="C41" s="125"/>
      <c r="D41" s="143"/>
      <c r="E41" s="123" t="s">
        <v>157</v>
      </c>
      <c r="F41" s="110">
        <f ca="1">IF(F34&lt;100,3.01068359-1.16238545*LN(F40)+0.0769065987*F40-0.00105506843*F40^2+0.0000061777433*F40^3, 0.439450974*LN(F40)-0.0589545917*F40+0.000864585484*F40^2--0.0000050245833*F40^3+0.0271795536*F34-0.000000694700018*F34^2-0.0135466465*LN(F40)*F34+0.00111506771*F40*F34-0.0000163031577*F40^2*F34+0.000000100726405*F40^3*F34-0.0188628461)</f>
        <v>0.68851350042353787</v>
      </c>
      <c r="G41" s="125"/>
      <c r="H41" s="143"/>
    </row>
    <row r="42" spans="1:8" x14ac:dyDescent="0.25">
      <c r="A42" s="140" t="s">
        <v>104</v>
      </c>
      <c r="B42" s="113">
        <f ca="1">-0.0319307*1/B41^3+0.19815432*1/B41^2+0.9507587*1/B41+0.64675911+0.06731031*B41-0.00378044*B41^2</f>
        <v>2.3013363462573309</v>
      </c>
      <c r="C42" s="127"/>
      <c r="D42" s="144"/>
      <c r="E42" s="123" t="s">
        <v>104</v>
      </c>
      <c r="F42" s="113">
        <f ca="1">-0.0319307*1/F41^3+0.19815432*1/F41^2+0.9507587*1/F41+0.64675911+0.06731031*F41-0.00378044*F41^2</f>
        <v>2.3923695925753643</v>
      </c>
      <c r="G42" s="127"/>
      <c r="H42" s="144"/>
    </row>
    <row r="43" spans="1:8" x14ac:dyDescent="0.25">
      <c r="A43" s="140" t="s">
        <v>105</v>
      </c>
      <c r="B43" s="110">
        <v>1.25</v>
      </c>
      <c r="C43" s="127"/>
      <c r="D43" s="144"/>
      <c r="E43" s="123" t="s">
        <v>105</v>
      </c>
      <c r="F43" s="110">
        <v>1.25</v>
      </c>
      <c r="G43" s="127"/>
      <c r="H43" s="144"/>
    </row>
    <row r="44" spans="1:8" x14ac:dyDescent="0.25">
      <c r="A44" s="140" t="s">
        <v>149</v>
      </c>
      <c r="B44" s="110">
        <f ca="1">INDIRECT("Pomožno!"&amp;ADDRESS(IF(B5=0,19,20),B27-3))</f>
        <v>24.5</v>
      </c>
      <c r="C44" s="127"/>
      <c r="D44" s="144"/>
      <c r="E44" s="123" t="s">
        <v>149</v>
      </c>
      <c r="F44" s="110">
        <f ca="1">INDIRECT("Pomožno!"&amp;ADDRESS(IF(F5=0,19,20),F27-3))</f>
        <v>24.5</v>
      </c>
      <c r="G44" s="127"/>
      <c r="H44" s="144"/>
    </row>
    <row r="45" spans="1:8" x14ac:dyDescent="0.25">
      <c r="A45" s="140" t="s">
        <v>106</v>
      </c>
      <c r="B45" s="110">
        <f ca="1">1+(B44/(B43*B23/B3)+IF(B5=0,0.0193,0.0087))*B13*(PI()*Korak_1!C5*C13/(1000))/100*SQRT((B14/B13)^2/(1+(B14/B13)^2))</f>
        <v>1.2182471135513273</v>
      </c>
      <c r="C45" s="126"/>
      <c r="D45" s="145"/>
      <c r="E45" s="123" t="s">
        <v>106</v>
      </c>
      <c r="F45" s="110">
        <f ca="1">1+(F44/(F43*ABS(F23)/F3)+IF(F5=0,0.0193,0.0087))*F13*(PI()*Korak_1!C5/B17*G13/(1000))/100*SQRT((F14/F13)^2/(1+(F14/F13)^2))</f>
        <v>1.0425635065855616</v>
      </c>
      <c r="G45" s="126"/>
      <c r="H45" s="145"/>
    </row>
    <row r="46" spans="1:8" x14ac:dyDescent="0.25">
      <c r="A46" s="140" t="s">
        <v>107</v>
      </c>
      <c r="B46" s="110">
        <v>1.2</v>
      </c>
      <c r="C46" s="109" t="s">
        <v>155</v>
      </c>
      <c r="D46" s="24">
        <v>1.6</v>
      </c>
      <c r="E46" s="123" t="s">
        <v>107</v>
      </c>
      <c r="F46" s="110">
        <v>1.2</v>
      </c>
      <c r="G46" s="109" t="s">
        <v>155</v>
      </c>
      <c r="H46" s="24">
        <v>1.6</v>
      </c>
    </row>
    <row r="47" spans="1:8" x14ac:dyDescent="0.25">
      <c r="A47" s="146" t="s">
        <v>98</v>
      </c>
      <c r="B47" s="115">
        <f ca="1">B23/(B3*B10)*B28*B29*B31*B33*B35*B42*B43*B45*B46</f>
        <v>467.09929164314394</v>
      </c>
      <c r="C47" s="114" t="s">
        <v>112</v>
      </c>
      <c r="D47" s="141">
        <f>B6*D29*D30*D31*D32*D33/D46</f>
        <v>498.40863038069767</v>
      </c>
      <c r="E47" s="156" t="s">
        <v>98</v>
      </c>
      <c r="F47" s="115">
        <f ca="1">ABS(F23)/(F3*F10)*F28*F29*F31*F33*F35*F42*F43*F45*F46</f>
        <v>455.33548066190991</v>
      </c>
      <c r="G47" s="114" t="s">
        <v>112</v>
      </c>
      <c r="H47" s="141">
        <f>F6*H29*H30*H31*H32*H33/H46</f>
        <v>498.40863038069767</v>
      </c>
    </row>
    <row r="48" spans="1:8" ht="15.75" thickBot="1" x14ac:dyDescent="0.3">
      <c r="A48" s="238" t="s">
        <v>114</v>
      </c>
      <c r="B48" s="227"/>
      <c r="C48" s="227"/>
      <c r="D48" s="228"/>
      <c r="E48" s="226" t="s">
        <v>114</v>
      </c>
      <c r="F48" s="227"/>
      <c r="G48" s="227"/>
      <c r="H48" s="228"/>
    </row>
    <row r="49" spans="1:13" ht="15.75" thickTop="1" x14ac:dyDescent="0.25">
      <c r="A49" s="177" t="s">
        <v>115</v>
      </c>
      <c r="B49" s="178">
        <f>SQRT(2/(COS(20*PI()/180)^2*TAN(20*PI()/180)))</f>
        <v>2.4945731713945873</v>
      </c>
      <c r="C49" s="179" t="s">
        <v>151</v>
      </c>
      <c r="D49" s="175" t="s">
        <v>159</v>
      </c>
      <c r="E49" s="180" t="s">
        <v>115</v>
      </c>
      <c r="F49" s="178">
        <f>SQRT(2/(COS(20*PI()/180)^2*TAN(20*PI()/180)))</f>
        <v>2.4945731713945873</v>
      </c>
      <c r="G49" s="179" t="s">
        <v>151</v>
      </c>
      <c r="H49" s="175" t="s">
        <v>159</v>
      </c>
    </row>
    <row r="50" spans="1:13" x14ac:dyDescent="0.25">
      <c r="A50" s="147" t="s">
        <v>116</v>
      </c>
      <c r="B50" s="117">
        <f>SQRT(1/(PI()*2*(1-0.3^2)/210000))</f>
        <v>191.64567250641841</v>
      </c>
      <c r="C50" s="116" t="s">
        <v>123</v>
      </c>
      <c r="D50" s="148">
        <f>IF(D49="a",IF(D28&lt;5*10^5,1.6,IF(D28&gt;10^9,1,1*(D28/(10^9))^(-0.06183524))),IF(D49="b",IF(D28&lt;10^5,1.6,IF(D28&gt;4*10^7,1,1*(D28/(4*10^7))^(-0.07844553))),IF(D49="c",IF(D28&lt;10^5,1.6,IF(D28&gt;2*10^6,1,1*(D28/(2*10^6))^(-0.08757934))),"NAPAKA I26")))</f>
        <v>1.3294453214357622</v>
      </c>
      <c r="E50" s="157" t="s">
        <v>116</v>
      </c>
      <c r="F50" s="117">
        <f>SQRT(1/(PI()*2*(1-0.3^2)/210000))</f>
        <v>191.64567250641841</v>
      </c>
      <c r="G50" s="116" t="s">
        <v>123</v>
      </c>
      <c r="H50" s="148">
        <f>IF(H49="a",IF(H28&lt;5*10^5,1.6,IF(H28&gt;10^9,1,1*(H28/(10^9))^(-0.06183524))),IF(H49="b",IF(H28&lt;10^5,1.6,IF(H28&gt;4*10^7,1,1*(H28/(4*10^7))^(-0.07844553))),IF(H49="c",IF(H28&lt;10^5,1.6,IF(H28&gt;2*10^6,1,1*(H28/(2*10^6))^(-0.08757934))),"NAPAKA I26")))</f>
        <v>1.3294453214357622</v>
      </c>
    </row>
    <row r="51" spans="1:13" x14ac:dyDescent="0.25">
      <c r="A51" s="147" t="s">
        <v>117</v>
      </c>
      <c r="B51" s="117">
        <f ca="1">SQRT((4-B30)/3)</f>
        <v>0.87241860462794618</v>
      </c>
      <c r="C51" s="116" t="s">
        <v>158</v>
      </c>
      <c r="D51" s="148">
        <v>0.92</v>
      </c>
      <c r="E51" s="157" t="s">
        <v>117</v>
      </c>
      <c r="F51" s="117">
        <f ca="1">SQRT((4-F30)/3)</f>
        <v>0.86793720337898728</v>
      </c>
      <c r="G51" s="116" t="s">
        <v>158</v>
      </c>
      <c r="H51" s="148">
        <v>0.92</v>
      </c>
    </row>
    <row r="52" spans="1:13" x14ac:dyDescent="0.25">
      <c r="A52" s="147" t="s">
        <v>118</v>
      </c>
      <c r="B52" s="117">
        <v>1</v>
      </c>
      <c r="C52" s="116" t="s">
        <v>124</v>
      </c>
      <c r="D52" s="148">
        <v>1</v>
      </c>
      <c r="E52" s="157" t="s">
        <v>118</v>
      </c>
      <c r="F52" s="117">
        <v>1</v>
      </c>
      <c r="G52" s="116" t="s">
        <v>124</v>
      </c>
      <c r="H52" s="148">
        <v>1</v>
      </c>
    </row>
    <row r="53" spans="1:13" x14ac:dyDescent="0.25">
      <c r="A53" s="147" t="s">
        <v>119</v>
      </c>
      <c r="B53" s="117">
        <f ca="1">IF(B34&gt;=100,INDIRECT("Pomožno!"&amp;ADDRESS(IF(B5=0,5,6),($B$27-4))),INDIRECT("Pomožno!"&amp;ADDRESS(IF(B5=0,5,6),(9))))</f>
        <v>1.3138632435026041</v>
      </c>
      <c r="C53" s="116" t="s">
        <v>125</v>
      </c>
      <c r="D53" s="148">
        <f>D33</f>
        <v>1</v>
      </c>
      <c r="E53" s="157" t="s">
        <v>119</v>
      </c>
      <c r="F53" s="117">
        <f ca="1">IF(F34&gt;=100,INDIRECT("Pomožno!"&amp;ADDRESS(IF(F5=0,5,6),($B$27-4))),INDIRECT("Pomožno!"&amp;ADDRESS(IF(F5=0,5,6),(9))))</f>
        <v>1.3138632435026041</v>
      </c>
      <c r="G53" s="116" t="s">
        <v>125</v>
      </c>
      <c r="H53" s="148">
        <f>H33</f>
        <v>1</v>
      </c>
    </row>
    <row r="54" spans="1:13" x14ac:dyDescent="0.25">
      <c r="A54" s="147" t="s">
        <v>120</v>
      </c>
      <c r="B54" s="117">
        <f ca="1">-0.53221923*1/B41^3+2.2669944*1/B41^2-1.15718491*1/B41+1.53876373-0.07251802*B41+0.00334131*B41^2</f>
        <v>2.8133477450659705</v>
      </c>
      <c r="C54" s="116" t="s">
        <v>156</v>
      </c>
      <c r="D54" s="24">
        <v>1.2</v>
      </c>
      <c r="E54" s="157" t="s">
        <v>120</v>
      </c>
      <c r="F54" s="117">
        <f ca="1">-0.53221923*1/F41^3+2.2669944*1/F41^2-1.15718491*1/F41+1.53876373-0.07251802*F41+0.00334131*F41^2</f>
        <v>2.961271770622147</v>
      </c>
      <c r="G54" s="116" t="s">
        <v>156</v>
      </c>
      <c r="H54" s="24">
        <v>1.2</v>
      </c>
    </row>
    <row r="55" spans="1:13" ht="15.75" thickBot="1" x14ac:dyDescent="0.3">
      <c r="A55" s="149" t="s">
        <v>121</v>
      </c>
      <c r="B55" s="22">
        <f ca="1">B49*B50*B51*B52*SQRT(B23/(B3*C13)*(C14/C13+1)/(C14/C13)*B53*B54*B43*B45)</f>
        <v>1374.8271903184841</v>
      </c>
      <c r="C55" s="150" t="s">
        <v>122</v>
      </c>
      <c r="D55" s="151">
        <f>B7*D50*D51*D52*D53/D54</f>
        <v>1294.4365946379539</v>
      </c>
      <c r="E55" s="158" t="s">
        <v>121</v>
      </c>
      <c r="F55" s="22">
        <f ca="1">F49*F50*F51*F52*SQRT(ABS(F23)/(F3*G13)*(G14/G13+1)/(G14/G13)*F53*F54*F43*F45)</f>
        <v>1275.1550737926827</v>
      </c>
      <c r="G55" s="150" t="s">
        <v>122</v>
      </c>
      <c r="H55" s="151">
        <f>F7*H50*H51*H52*H53/H54</f>
        <v>1294.4365946379539</v>
      </c>
    </row>
    <row r="56" spans="1:13" x14ac:dyDescent="0.25">
      <c r="F56" s="79"/>
      <c r="G56" s="79"/>
      <c r="H56" s="79"/>
      <c r="I56" s="79"/>
      <c r="J56" s="79"/>
      <c r="K56" s="79"/>
      <c r="L56" s="79"/>
      <c r="M56" s="79"/>
    </row>
  </sheetData>
  <mergeCells count="10">
    <mergeCell ref="E1:H1"/>
    <mergeCell ref="E48:H48"/>
    <mergeCell ref="A1:D1"/>
    <mergeCell ref="A18:D18"/>
    <mergeCell ref="A22:D22"/>
    <mergeCell ref="A26:D26"/>
    <mergeCell ref="A48:D48"/>
    <mergeCell ref="E26:H26"/>
    <mergeCell ref="E18:H18"/>
    <mergeCell ref="E22:H22"/>
  </mergeCells>
  <conditionalFormatting sqref="B47">
    <cfRule type="cellIs" dxfId="10" priority="4" operator="lessThan">
      <formula>$D$47</formula>
    </cfRule>
  </conditionalFormatting>
  <conditionalFormatting sqref="B55">
    <cfRule type="cellIs" dxfId="9" priority="3" operator="lessThan">
      <formula>$D$55</formula>
    </cfRule>
  </conditionalFormatting>
  <conditionalFormatting sqref="F47">
    <cfRule type="cellIs" dxfId="8" priority="2" operator="lessThan">
      <formula>$H$47</formula>
    </cfRule>
  </conditionalFormatting>
  <conditionalFormatting sqref="F55">
    <cfRule type="cellIs" dxfId="7" priority="1" operator="lessThan">
      <formula>$H$55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enačbe">
                <anchor moveWithCells="1" sizeWithCells="1">
                  <from>
                    <xdr:col>9</xdr:col>
                    <xdr:colOff>28575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greaterThan" id="{00000000-000E-0000-0000-00000B000000}">
            <xm:f>Korak_1!$B$7-2*(5+2.25*$B$11)</xm:f>
            <x14:dxf>
              <fill>
                <patternFill>
                  <bgColor rgb="FFFF0000"/>
                </patternFill>
              </fill>
            </x14:dxf>
          </x14:cfRule>
          <xm:sqref>C15 G15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65A8-C98C-4E88-9466-6DC059A8F253}">
  <sheetPr codeName="Sheet2"/>
  <dimension ref="A1:K31"/>
  <sheetViews>
    <sheetView topLeftCell="A7" workbookViewId="0">
      <selection activeCell="F21" sqref="F21"/>
    </sheetView>
  </sheetViews>
  <sheetFormatPr defaultRowHeight="15" x14ac:dyDescent="0.25"/>
  <cols>
    <col min="1" max="1" width="22.42578125" bestFit="1" customWidth="1"/>
    <col min="2" max="2" width="12" bestFit="1" customWidth="1"/>
    <col min="3" max="3" width="16.28515625" bestFit="1" customWidth="1"/>
    <col min="6" max="6" width="12" bestFit="1" customWidth="1"/>
    <col min="7" max="7" width="16.28515625" bestFit="1" customWidth="1"/>
  </cols>
  <sheetData>
    <row r="1" spans="1:11" x14ac:dyDescent="0.25">
      <c r="A1" s="11" t="s">
        <v>16</v>
      </c>
      <c r="B1" s="12"/>
      <c r="C1" s="12"/>
      <c r="D1" s="13"/>
      <c r="E1" s="11" t="s">
        <v>16</v>
      </c>
      <c r="F1" s="12"/>
      <c r="G1" s="12"/>
      <c r="H1" s="13"/>
    </row>
    <row r="2" spans="1:11" x14ac:dyDescent="0.25">
      <c r="A2" s="14" t="s">
        <v>22</v>
      </c>
      <c r="B2" s="20">
        <v>2.5</v>
      </c>
      <c r="C2" s="7" t="s">
        <v>28</v>
      </c>
      <c r="D2" s="15">
        <f>B5+B6</f>
        <v>170</v>
      </c>
      <c r="E2" s="14" t="s">
        <v>22</v>
      </c>
      <c r="F2" s="8">
        <v>5</v>
      </c>
      <c r="G2" s="7" t="s">
        <v>28</v>
      </c>
      <c r="H2" s="15">
        <f>F5+F6</f>
        <v>87.5</v>
      </c>
    </row>
    <row r="3" spans="1:11" x14ac:dyDescent="0.25">
      <c r="A3" s="16"/>
      <c r="B3" s="7" t="s">
        <v>23</v>
      </c>
      <c r="C3" s="7" t="s">
        <v>24</v>
      </c>
      <c r="D3" s="17" t="s">
        <v>25</v>
      </c>
      <c r="E3" s="16"/>
      <c r="F3" s="7" t="s">
        <v>23</v>
      </c>
      <c r="G3" s="7" t="s">
        <v>24</v>
      </c>
      <c r="H3" s="17" t="s">
        <v>25</v>
      </c>
    </row>
    <row r="4" spans="1:11" x14ac:dyDescent="0.25">
      <c r="A4" s="14" t="s">
        <v>20</v>
      </c>
      <c r="B4" s="20">
        <v>14</v>
      </c>
      <c r="C4" s="8">
        <f>B4*B2</f>
        <v>35</v>
      </c>
      <c r="D4" s="15">
        <f>C4+2.5*$B$2</f>
        <v>41.25</v>
      </c>
      <c r="E4" s="14" t="s">
        <v>20</v>
      </c>
      <c r="F4" s="8">
        <f>B4</f>
        <v>14</v>
      </c>
      <c r="G4" s="8">
        <f>F4*F2</f>
        <v>70</v>
      </c>
      <c r="H4" s="15">
        <f>G4+2.5*$F$2</f>
        <v>82.5</v>
      </c>
    </row>
    <row r="5" spans="1:11" x14ac:dyDescent="0.25">
      <c r="A5" s="14" t="s">
        <v>21</v>
      </c>
      <c r="B5" s="8">
        <f>(B6-B4)/2</f>
        <v>52</v>
      </c>
      <c r="C5" s="8">
        <f>B5*B2</f>
        <v>130</v>
      </c>
      <c r="D5" s="15">
        <f>C5+2.5*$B$2</f>
        <v>136.25</v>
      </c>
      <c r="E5" s="14" t="s">
        <v>21</v>
      </c>
      <c r="F5" s="8">
        <f>(F6-F4)/2</f>
        <v>24.5</v>
      </c>
      <c r="G5" s="8">
        <f>F5*F2</f>
        <v>122.5</v>
      </c>
      <c r="H5" s="15">
        <f>G5+2.5*$F$2</f>
        <v>135</v>
      </c>
    </row>
    <row r="6" spans="1:11" x14ac:dyDescent="0.25">
      <c r="A6" s="14" t="s">
        <v>29</v>
      </c>
      <c r="B6" s="20">
        <v>118</v>
      </c>
      <c r="C6" s="10">
        <f>B6*B2</f>
        <v>295</v>
      </c>
      <c r="D6" s="15">
        <f>C6+2*$B$2</f>
        <v>300</v>
      </c>
      <c r="E6" s="14" t="s">
        <v>29</v>
      </c>
      <c r="F6" s="8">
        <f>-F4*F7</f>
        <v>63</v>
      </c>
      <c r="G6" s="10">
        <f>F6*F2</f>
        <v>315</v>
      </c>
      <c r="H6" s="15">
        <f>G6+2*$F$2</f>
        <v>325</v>
      </c>
    </row>
    <row r="7" spans="1:11" x14ac:dyDescent="0.25">
      <c r="A7" s="14" t="s">
        <v>17</v>
      </c>
      <c r="B7" s="9">
        <f>-B6/B4</f>
        <v>-8.4285714285714288</v>
      </c>
      <c r="C7" s="6"/>
      <c r="D7" s="18"/>
      <c r="E7" s="14" t="s">
        <v>17</v>
      </c>
      <c r="F7" s="9">
        <f>-(F8-1)</f>
        <v>-4.5</v>
      </c>
      <c r="G7" s="6">
        <v>138</v>
      </c>
      <c r="H7" s="18"/>
    </row>
    <row r="8" spans="1:11" x14ac:dyDescent="0.25">
      <c r="A8" s="14" t="s">
        <v>18</v>
      </c>
      <c r="B8" s="9">
        <f>1-B7</f>
        <v>9.4285714285714288</v>
      </c>
      <c r="C8" s="6"/>
      <c r="D8" s="18"/>
      <c r="E8" s="14" t="s">
        <v>18</v>
      </c>
      <c r="F8" s="21">
        <v>5.5</v>
      </c>
      <c r="G8" s="6">
        <f>G7/F4</f>
        <v>9.8571428571428577</v>
      </c>
      <c r="H8" s="18"/>
    </row>
    <row r="9" spans="1:11" x14ac:dyDescent="0.25">
      <c r="A9" s="14" t="s">
        <v>26</v>
      </c>
      <c r="B9" s="7" t="s">
        <v>19</v>
      </c>
      <c r="C9" s="7" t="s">
        <v>27</v>
      </c>
      <c r="D9" s="18"/>
      <c r="E9" s="14" t="s">
        <v>26</v>
      </c>
      <c r="F9" s="7" t="s">
        <v>19</v>
      </c>
      <c r="G9" s="7" t="s">
        <v>27</v>
      </c>
      <c r="H9" s="18"/>
    </row>
    <row r="10" spans="1:11" x14ac:dyDescent="0.25">
      <c r="A10" s="16">
        <v>3</v>
      </c>
      <c r="B10" s="10" t="str">
        <f>IF(MOD(($B$4+$B$6),A10)=0,"da","ne")</f>
        <v>da</v>
      </c>
      <c r="C10" s="10" t="str">
        <f>IF(SQRT(2*($C$4/2+$C$5/2)^2*(1-COS(2*PI()/A10)))&lt;$D$5,"da","ne")</f>
        <v>ne</v>
      </c>
      <c r="D10" s="18"/>
      <c r="E10" s="16">
        <v>3</v>
      </c>
      <c r="F10" s="10" t="str">
        <f t="shared" ref="F10:F16" si="0">IF(MOD(($F$4+$F$6),E10)=0,"da","ne")</f>
        <v>ne</v>
      </c>
      <c r="G10" s="10" t="str">
        <f>IF(SQRT(2*($G$4/2+$G$5/2)^2*(1-COS(2*PI()/E10)))&lt;$H$5,"da","ne")</f>
        <v>ne</v>
      </c>
      <c r="H10">
        <f>$F$5+2</f>
        <v>26.5</v>
      </c>
      <c r="I10">
        <f>$F$4+$F$5*SIN(PI()/E10)</f>
        <v>35.217622392718745</v>
      </c>
      <c r="J10">
        <f>SQRT(2*($G$4/2+$G$5/2)^2*(1-COS(2*PI()/E10)))</f>
        <v>166.70989022850443</v>
      </c>
    </row>
    <row r="11" spans="1:11" x14ac:dyDescent="0.25">
      <c r="A11" s="16">
        <v>4</v>
      </c>
      <c r="B11" s="10" t="str">
        <f t="shared" ref="B11:B16" si="1">IF(MOD(($B$4+$B$6),A11)=0,"da","ne")</f>
        <v>da</v>
      </c>
      <c r="C11" s="10" t="str">
        <f t="shared" ref="C11:C16" si="2">IF(SQRT(2*($C$4/2+$C$5/2)^2*(1-COS(2*PI()/A11)))&lt;$D$5,"da","ne")</f>
        <v>da</v>
      </c>
      <c r="D11" s="18"/>
      <c r="E11" s="16">
        <v>4</v>
      </c>
      <c r="F11" s="10" t="str">
        <f t="shared" si="0"/>
        <v>ne</v>
      </c>
      <c r="G11" s="10" t="str">
        <f t="shared" ref="G11:G16" si="3">IF(SQRT(2*($G$4/2+$G$5/2)^2*(1-COS(2*PI()/E11)))&lt;$H$5,"da","ne")</f>
        <v>ne</v>
      </c>
      <c r="H11">
        <f t="shared" ref="H11:H16" si="4">$F$5+2</f>
        <v>26.5</v>
      </c>
      <c r="I11">
        <f t="shared" ref="I11:I16" si="5">$F$4+$F$5*SIN(PI()/E11)</f>
        <v>31.324116139070412</v>
      </c>
      <c r="J11">
        <f>F5+2</f>
        <v>26.5</v>
      </c>
      <c r="K11">
        <f>F4+F5*SIN(PI()/E10)</f>
        <v>35.217622392718745</v>
      </c>
    </row>
    <row r="12" spans="1:11" x14ac:dyDescent="0.25">
      <c r="A12" s="16">
        <v>5</v>
      </c>
      <c r="B12" s="10" t="str">
        <f t="shared" si="1"/>
        <v>ne</v>
      </c>
      <c r="C12" s="10" t="str">
        <f t="shared" si="2"/>
        <v>da</v>
      </c>
      <c r="D12" s="18"/>
      <c r="E12" s="16">
        <v>5</v>
      </c>
      <c r="F12" s="10" t="str">
        <f t="shared" si="0"/>
        <v>ne</v>
      </c>
      <c r="G12" s="10" t="str">
        <f t="shared" si="3"/>
        <v>da</v>
      </c>
      <c r="H12">
        <f t="shared" si="4"/>
        <v>26.5</v>
      </c>
      <c r="I12">
        <f t="shared" si="5"/>
        <v>28.400738681165592</v>
      </c>
    </row>
    <row r="13" spans="1:11" x14ac:dyDescent="0.25">
      <c r="A13" s="16">
        <v>6</v>
      </c>
      <c r="B13" s="10" t="str">
        <f t="shared" si="1"/>
        <v>da</v>
      </c>
      <c r="C13" s="10" t="str">
        <f t="shared" si="2"/>
        <v>da</v>
      </c>
      <c r="D13" s="18"/>
      <c r="E13" s="16">
        <v>6</v>
      </c>
      <c r="F13" s="10" t="str">
        <f t="shared" si="0"/>
        <v>ne</v>
      </c>
      <c r="G13" s="10" t="str">
        <f t="shared" si="3"/>
        <v>da</v>
      </c>
      <c r="H13">
        <f t="shared" si="4"/>
        <v>26.5</v>
      </c>
      <c r="I13">
        <f t="shared" si="5"/>
        <v>26.25</v>
      </c>
    </row>
    <row r="14" spans="1:11" x14ac:dyDescent="0.25">
      <c r="A14" s="16">
        <v>7</v>
      </c>
      <c r="B14" s="10" t="str">
        <f t="shared" si="1"/>
        <v>ne</v>
      </c>
      <c r="C14" s="10" t="str">
        <f t="shared" si="2"/>
        <v>da</v>
      </c>
      <c r="D14" s="18"/>
      <c r="E14" s="16">
        <v>7</v>
      </c>
      <c r="F14" s="10" t="str">
        <f t="shared" si="0"/>
        <v>da</v>
      </c>
      <c r="G14" s="10" t="str">
        <f t="shared" si="3"/>
        <v>da</v>
      </c>
      <c r="H14">
        <f t="shared" si="4"/>
        <v>26.5</v>
      </c>
      <c r="I14">
        <f t="shared" si="5"/>
        <v>24.630151608380174</v>
      </c>
    </row>
    <row r="15" spans="1:11" x14ac:dyDescent="0.25">
      <c r="A15" s="16">
        <v>8</v>
      </c>
      <c r="B15" s="10" t="str">
        <f t="shared" si="1"/>
        <v>ne</v>
      </c>
      <c r="C15" s="10" t="str">
        <f t="shared" si="2"/>
        <v>da</v>
      </c>
      <c r="D15" s="18"/>
      <c r="E15" s="16">
        <v>8</v>
      </c>
      <c r="F15" s="10" t="str">
        <f t="shared" si="0"/>
        <v>ne</v>
      </c>
      <c r="G15" s="10" t="str">
        <f t="shared" si="3"/>
        <v>da</v>
      </c>
      <c r="H15">
        <f t="shared" si="4"/>
        <v>26.5</v>
      </c>
      <c r="I15">
        <f t="shared" si="5"/>
        <v>23.3757440929447</v>
      </c>
    </row>
    <row r="16" spans="1:11" ht="15.75" thickBot="1" x14ac:dyDescent="0.3">
      <c r="A16" s="23">
        <v>9</v>
      </c>
      <c r="B16" s="10" t="str">
        <f t="shared" si="1"/>
        <v>ne</v>
      </c>
      <c r="C16" s="10" t="str">
        <f t="shared" si="2"/>
        <v>da</v>
      </c>
      <c r="D16" s="19"/>
      <c r="E16" s="23">
        <v>9</v>
      </c>
      <c r="F16" s="10" t="str">
        <f t="shared" si="0"/>
        <v>ne</v>
      </c>
      <c r="G16" s="10" t="str">
        <f t="shared" si="3"/>
        <v>da</v>
      </c>
      <c r="H16">
        <f t="shared" si="4"/>
        <v>26.5</v>
      </c>
      <c r="I16">
        <f t="shared" si="5"/>
        <v>22.379493511478884</v>
      </c>
    </row>
    <row r="22" spans="1:4" x14ac:dyDescent="0.25">
      <c r="A22" t="s">
        <v>85</v>
      </c>
      <c r="B22">
        <v>25</v>
      </c>
      <c r="C22" t="s">
        <v>94</v>
      </c>
      <c r="D22">
        <v>2</v>
      </c>
    </row>
    <row r="23" spans="1:4" x14ac:dyDescent="0.25">
      <c r="A23" t="s">
        <v>24</v>
      </c>
      <c r="B23">
        <v>20</v>
      </c>
      <c r="C23" t="s">
        <v>96</v>
      </c>
      <c r="D23">
        <v>0.85</v>
      </c>
    </row>
    <row r="24" spans="1:4" x14ac:dyDescent="0.25">
      <c r="A24" t="s">
        <v>86</v>
      </c>
      <c r="B24">
        <f>1+B25*(B26-1)</f>
        <v>2.8</v>
      </c>
      <c r="C24" t="s">
        <v>97</v>
      </c>
      <c r="D24">
        <v>0.85</v>
      </c>
    </row>
    <row r="25" spans="1:4" x14ac:dyDescent="0.25">
      <c r="A25" t="s">
        <v>88</v>
      </c>
      <c r="B25">
        <v>1</v>
      </c>
      <c r="C25" t="s">
        <v>95</v>
      </c>
      <c r="D25">
        <f>B28*D23*D24/D22</f>
        <v>144.5</v>
      </c>
    </row>
    <row r="26" spans="1:4" x14ac:dyDescent="0.25">
      <c r="A26" t="s">
        <v>89</v>
      </c>
      <c r="B26">
        <v>2.8</v>
      </c>
    </row>
    <row r="27" spans="1:4" x14ac:dyDescent="0.25">
      <c r="A27" t="s">
        <v>91</v>
      </c>
      <c r="B27">
        <f>B28/(1.73*B29)</f>
        <v>0.92485549132947975</v>
      </c>
    </row>
    <row r="28" spans="1:4" x14ac:dyDescent="0.25">
      <c r="A28" t="s">
        <v>92</v>
      </c>
      <c r="B28">
        <v>400</v>
      </c>
    </row>
    <row r="29" spans="1:4" x14ac:dyDescent="0.25">
      <c r="A29" t="s">
        <v>93</v>
      </c>
      <c r="B29">
        <v>250</v>
      </c>
    </row>
    <row r="30" spans="1:4" x14ac:dyDescent="0.25">
      <c r="A30" t="s">
        <v>87</v>
      </c>
      <c r="B30">
        <f>B24*16*B22*1000/(PI()*B23^3)</f>
        <v>44.563384065730702</v>
      </c>
    </row>
    <row r="31" spans="1:4" x14ac:dyDescent="0.25">
      <c r="A31" t="s">
        <v>90</v>
      </c>
      <c r="B31">
        <f>SQRT(3*(B27*B30)^2)</f>
        <v>71.385937904324535</v>
      </c>
    </row>
  </sheetData>
  <conditionalFormatting sqref="B10:B16">
    <cfRule type="containsText" dxfId="5" priority="6" operator="containsText" text="ne">
      <formula>NOT(ISERROR(SEARCH("ne",B10)))</formula>
    </cfRule>
  </conditionalFormatting>
  <conditionalFormatting sqref="C10:C16">
    <cfRule type="containsText" dxfId="4" priority="5" operator="containsText" text="da">
      <formula>NOT(ISERROR(SEARCH("da",C10)))</formula>
    </cfRule>
  </conditionalFormatting>
  <conditionalFormatting sqref="C6">
    <cfRule type="cellIs" dxfId="3" priority="4" operator="greaterThan">
      <formula>$B$7-2*(5+2.25*$G$2)</formula>
    </cfRule>
  </conditionalFormatting>
  <conditionalFormatting sqref="F10:F16">
    <cfRule type="containsText" dxfId="2" priority="3" operator="containsText" text="ne">
      <formula>NOT(ISERROR(SEARCH("ne",F10)))</formula>
    </cfRule>
  </conditionalFormatting>
  <conditionalFormatting sqref="G10:G16">
    <cfRule type="containsText" dxfId="1" priority="2" operator="containsText" text="da">
      <formula>NOT(ISERROR(SEARCH("da",G10)))</formula>
    </cfRule>
  </conditionalFormatting>
  <conditionalFormatting sqref="G6">
    <cfRule type="cellIs" dxfId="0" priority="1" operator="greaterThan">
      <formula>$B$7-2*(5+2.25*$G$2)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FB61-9AFB-45A1-802B-AE97AC22B3FE}">
  <sheetPr codeName="Sheet5"/>
  <dimension ref="A1:I30"/>
  <sheetViews>
    <sheetView topLeftCell="A5" workbookViewId="0">
      <selection activeCell="L5" sqref="L5:Y32"/>
    </sheetView>
  </sheetViews>
  <sheetFormatPr defaultRowHeight="15" x14ac:dyDescent="0.25"/>
  <cols>
    <col min="9" max="9" width="11.5703125" customWidth="1"/>
  </cols>
  <sheetData>
    <row r="1" spans="1:9" x14ac:dyDescent="0.25">
      <c r="A1" s="80" t="s">
        <v>103</v>
      </c>
      <c r="B1" s="81">
        <v>6</v>
      </c>
      <c r="C1" s="81">
        <v>7</v>
      </c>
      <c r="D1" s="81">
        <v>8</v>
      </c>
      <c r="E1" s="81">
        <v>9</v>
      </c>
      <c r="F1" s="81">
        <v>10</v>
      </c>
      <c r="G1" s="81">
        <v>11</v>
      </c>
      <c r="H1" s="81">
        <v>12</v>
      </c>
      <c r="I1" s="82" t="s">
        <v>133</v>
      </c>
    </row>
    <row r="2" spans="1:9" x14ac:dyDescent="0.25">
      <c r="A2" s="83" t="s">
        <v>131</v>
      </c>
      <c r="B2" s="48">
        <v>1</v>
      </c>
      <c r="C2" s="48">
        <v>1</v>
      </c>
      <c r="D2" s="48">
        <v>1.1000000000000001</v>
      </c>
      <c r="E2" s="48">
        <v>1.2</v>
      </c>
      <c r="F2" s="48">
        <f ca="1">1/Korak_3!$B$31</f>
        <v>1.4558253551268758</v>
      </c>
      <c r="G2" s="48">
        <f ca="1">1/Korak_3!$B$31</f>
        <v>1.4558253551268758</v>
      </c>
      <c r="H2" s="48">
        <f ca="1">1/Korak_3!$B$31</f>
        <v>1.4558253551268758</v>
      </c>
      <c r="I2" s="84">
        <f ca="1">1/Korak_3!$B$31</f>
        <v>1.4558253551268758</v>
      </c>
    </row>
    <row r="3" spans="1:9" ht="15.75" thickBot="1" x14ac:dyDescent="0.3">
      <c r="A3" s="85" t="s">
        <v>132</v>
      </c>
      <c r="B3" s="86">
        <v>1</v>
      </c>
      <c r="C3" s="86">
        <v>1.1000000000000001</v>
      </c>
      <c r="D3" s="86">
        <v>1.2</v>
      </c>
      <c r="E3" s="86">
        <v>1.4</v>
      </c>
      <c r="F3" s="86">
        <f ca="1">Korak_3!$B$30/COS(Korak_3!$B$5)^2</f>
        <v>1.7166573348970822</v>
      </c>
      <c r="G3" s="86">
        <f ca="1">Korak_3!$B$30/COS(Korak_3!$B$5)^2</f>
        <v>1.7166573348970822</v>
      </c>
      <c r="H3" s="86">
        <f ca="1">Korak_3!$B$30/COS(Korak_3!$B$5)^2</f>
        <v>1.7166573348970822</v>
      </c>
      <c r="I3" s="87">
        <f ca="1">Korak_3!$B$30/COS(Korak_3!$B$5)^2</f>
        <v>1.7166573348970822</v>
      </c>
    </row>
    <row r="4" spans="1:9" x14ac:dyDescent="0.25">
      <c r="A4" s="80" t="s">
        <v>119</v>
      </c>
      <c r="B4" s="81">
        <v>6</v>
      </c>
      <c r="C4" s="81">
        <v>7</v>
      </c>
      <c r="D4" s="81">
        <v>8</v>
      </c>
      <c r="E4" s="81">
        <v>9</v>
      </c>
      <c r="F4" s="81">
        <v>10</v>
      </c>
      <c r="G4" s="81">
        <v>11</v>
      </c>
      <c r="H4" s="81">
        <v>12</v>
      </c>
      <c r="I4" s="82" t="s">
        <v>133</v>
      </c>
    </row>
    <row r="5" spans="1:9" x14ac:dyDescent="0.25">
      <c r="A5" s="83" t="s">
        <v>131</v>
      </c>
      <c r="B5" s="48">
        <v>1</v>
      </c>
      <c r="C5" s="48">
        <v>1</v>
      </c>
      <c r="D5" s="48">
        <v>1.1000000000000001</v>
      </c>
      <c r="E5" s="48">
        <v>1.2</v>
      </c>
      <c r="F5" s="48">
        <f ca="1">1/Korak_3!$B$51^2</f>
        <v>1.3138632435026041</v>
      </c>
      <c r="G5" s="48">
        <f ca="1">1/Korak_3!$B$51^2</f>
        <v>1.3138632435026041</v>
      </c>
      <c r="H5" s="48">
        <f ca="1">1/Korak_3!$B$51^2</f>
        <v>1.3138632435026041</v>
      </c>
      <c r="I5" s="84">
        <f ca="1">1/Korak_3!$B$51^2</f>
        <v>1.3138632435026041</v>
      </c>
    </row>
    <row r="6" spans="1:9" ht="15.75" thickBot="1" x14ac:dyDescent="0.3">
      <c r="A6" s="85" t="s">
        <v>132</v>
      </c>
      <c r="B6" s="86">
        <v>1</v>
      </c>
      <c r="C6" s="86">
        <v>1.1000000000000001</v>
      </c>
      <c r="D6" s="86">
        <v>1.2</v>
      </c>
      <c r="E6" s="86">
        <v>1.4</v>
      </c>
      <c r="F6" s="86">
        <f ca="1">Korak_3!$B$30/COS(Korak_3!$B$5)^2</f>
        <v>1.7166573348970822</v>
      </c>
      <c r="G6" s="86">
        <f ca="1">Korak_3!$B$30/COS(Korak_3!$B$5)^2</f>
        <v>1.7166573348970822</v>
      </c>
      <c r="H6" s="86">
        <f ca="1">Korak_3!$B$30/COS(Korak_3!$B$5)^2</f>
        <v>1.7166573348970822</v>
      </c>
      <c r="I6" s="87">
        <f ca="1">Korak_3!$B$30/COS(Korak_3!$B$5)^2</f>
        <v>1.7166573348970822</v>
      </c>
    </row>
    <row r="7" spans="1:9" x14ac:dyDescent="0.25">
      <c r="A7" s="88" t="s">
        <v>135</v>
      </c>
      <c r="B7" s="81" t="s">
        <v>137</v>
      </c>
      <c r="C7" s="81" t="s">
        <v>138</v>
      </c>
      <c r="D7" s="81" t="s">
        <v>139</v>
      </c>
      <c r="E7" s="81" t="s">
        <v>140</v>
      </c>
      <c r="F7" s="81" t="s">
        <v>141</v>
      </c>
      <c r="G7" s="81" t="s">
        <v>142</v>
      </c>
      <c r="H7" s="82">
        <v>560</v>
      </c>
    </row>
    <row r="8" spans="1:9" ht="15.75" thickBot="1" x14ac:dyDescent="0.3">
      <c r="A8" s="89" t="s">
        <v>143</v>
      </c>
      <c r="B8" s="86">
        <v>6</v>
      </c>
      <c r="C8" s="86">
        <v>7</v>
      </c>
      <c r="D8" s="86">
        <v>8</v>
      </c>
      <c r="E8" s="86">
        <v>11</v>
      </c>
      <c r="F8" s="86">
        <v>14</v>
      </c>
      <c r="G8" s="86">
        <v>18</v>
      </c>
      <c r="H8" s="87">
        <v>24</v>
      </c>
    </row>
    <row r="9" spans="1:9" x14ac:dyDescent="0.25">
      <c r="A9" s="88" t="s">
        <v>145</v>
      </c>
      <c r="B9" s="81" t="s">
        <v>137</v>
      </c>
      <c r="C9" s="81" t="s">
        <v>138</v>
      </c>
      <c r="D9" s="81" t="s">
        <v>139</v>
      </c>
      <c r="E9" s="82" t="s">
        <v>146</v>
      </c>
    </row>
    <row r="10" spans="1:9" x14ac:dyDescent="0.25">
      <c r="A10" s="83">
        <v>5</v>
      </c>
      <c r="B10" s="25">
        <v>6</v>
      </c>
      <c r="C10" s="25">
        <v>6.5</v>
      </c>
      <c r="D10" s="25">
        <v>7</v>
      </c>
      <c r="E10" s="90">
        <v>8</v>
      </c>
    </row>
    <row r="11" spans="1:9" x14ac:dyDescent="0.25">
      <c r="A11" s="83">
        <v>6</v>
      </c>
      <c r="B11" s="25">
        <v>8</v>
      </c>
      <c r="C11" s="25">
        <v>9</v>
      </c>
      <c r="D11" s="25">
        <v>10</v>
      </c>
      <c r="E11" s="90">
        <v>11</v>
      </c>
    </row>
    <row r="12" spans="1:9" x14ac:dyDescent="0.25">
      <c r="A12" s="83">
        <v>7</v>
      </c>
      <c r="B12" s="25">
        <v>11</v>
      </c>
      <c r="C12" s="25">
        <v>13</v>
      </c>
      <c r="D12" s="25">
        <v>14</v>
      </c>
      <c r="E12" s="90">
        <v>16</v>
      </c>
    </row>
    <row r="13" spans="1:9" x14ac:dyDescent="0.25">
      <c r="A13" s="83">
        <v>8</v>
      </c>
      <c r="B13" s="25">
        <v>16</v>
      </c>
      <c r="C13" s="25">
        <v>18</v>
      </c>
      <c r="D13" s="25">
        <v>20</v>
      </c>
      <c r="E13" s="90">
        <v>22</v>
      </c>
    </row>
    <row r="14" spans="1:9" x14ac:dyDescent="0.25">
      <c r="A14" s="83">
        <v>9</v>
      </c>
      <c r="B14" s="25">
        <v>35</v>
      </c>
      <c r="C14" s="25">
        <v>28</v>
      </c>
      <c r="D14" s="25">
        <v>28</v>
      </c>
      <c r="E14" s="90">
        <v>32</v>
      </c>
    </row>
    <row r="15" spans="1:9" x14ac:dyDescent="0.25">
      <c r="A15" s="83">
        <v>10</v>
      </c>
      <c r="B15" s="25">
        <v>36</v>
      </c>
      <c r="C15" s="25">
        <v>40</v>
      </c>
      <c r="D15" s="25">
        <v>45</v>
      </c>
      <c r="E15" s="90">
        <v>50</v>
      </c>
    </row>
    <row r="16" spans="1:9" x14ac:dyDescent="0.25">
      <c r="A16" s="83">
        <v>11</v>
      </c>
      <c r="B16" s="25">
        <v>56</v>
      </c>
      <c r="C16" s="25">
        <v>63</v>
      </c>
      <c r="D16" s="25">
        <v>71</v>
      </c>
      <c r="E16" s="90">
        <v>80</v>
      </c>
    </row>
    <row r="17" spans="1:9" ht="15.75" thickBot="1" x14ac:dyDescent="0.3">
      <c r="A17" s="85">
        <v>12</v>
      </c>
      <c r="B17" s="91">
        <v>90</v>
      </c>
      <c r="C17" s="91">
        <v>100</v>
      </c>
      <c r="D17" s="91">
        <v>110</v>
      </c>
      <c r="E17" s="92">
        <v>125</v>
      </c>
    </row>
    <row r="18" spans="1:9" x14ac:dyDescent="0.25">
      <c r="A18" t="s">
        <v>150</v>
      </c>
      <c r="B18" s="25">
        <v>5</v>
      </c>
      <c r="C18" s="25">
        <v>6</v>
      </c>
      <c r="D18" s="25">
        <v>7</v>
      </c>
      <c r="E18" s="90">
        <v>8</v>
      </c>
      <c r="F18" s="25">
        <v>9</v>
      </c>
      <c r="G18" s="25">
        <v>10</v>
      </c>
      <c r="H18" s="25">
        <v>11</v>
      </c>
      <c r="I18" s="25">
        <v>12</v>
      </c>
    </row>
    <row r="19" spans="1:9" x14ac:dyDescent="0.25">
      <c r="A19" t="s">
        <v>131</v>
      </c>
      <c r="B19" s="25">
        <v>5.7</v>
      </c>
      <c r="C19" s="25">
        <v>9.6</v>
      </c>
      <c r="D19" s="25">
        <v>15.3</v>
      </c>
      <c r="E19" s="90">
        <v>24.5</v>
      </c>
      <c r="F19" s="25">
        <v>34.5</v>
      </c>
      <c r="G19" s="25">
        <v>53.6</v>
      </c>
      <c r="H19" s="25">
        <v>76.599999999999994</v>
      </c>
      <c r="I19" s="25">
        <v>122.5</v>
      </c>
    </row>
    <row r="20" spans="1:9" x14ac:dyDescent="0.25">
      <c r="A20" t="s">
        <v>132</v>
      </c>
      <c r="B20" s="25">
        <v>5.0999999999999996</v>
      </c>
      <c r="C20" s="25">
        <v>8.5</v>
      </c>
      <c r="D20" s="25">
        <v>13.6</v>
      </c>
      <c r="E20" s="90">
        <v>21.8</v>
      </c>
      <c r="F20" s="25">
        <v>30.7</v>
      </c>
      <c r="G20" s="25">
        <v>47.7</v>
      </c>
      <c r="H20" s="25">
        <v>68.2</v>
      </c>
      <c r="I20" s="25">
        <v>109.1</v>
      </c>
    </row>
    <row r="21" spans="1:9" x14ac:dyDescent="0.25">
      <c r="A21" t="s">
        <v>160</v>
      </c>
      <c r="B21" t="s">
        <v>161</v>
      </c>
      <c r="C21" t="s">
        <v>2</v>
      </c>
    </row>
    <row r="22" spans="1:9" x14ac:dyDescent="0.25">
      <c r="A22">
        <v>1</v>
      </c>
      <c r="B22">
        <v>3800</v>
      </c>
      <c r="C22">
        <v>0.35</v>
      </c>
    </row>
    <row r="23" spans="1:9" x14ac:dyDescent="0.25">
      <c r="A23">
        <v>2</v>
      </c>
      <c r="B23">
        <v>4500</v>
      </c>
      <c r="C23">
        <v>0.4</v>
      </c>
    </row>
    <row r="24" spans="1:9" x14ac:dyDescent="0.25">
      <c r="A24">
        <v>3</v>
      </c>
      <c r="B24">
        <v>7000</v>
      </c>
      <c r="C24">
        <v>0.5</v>
      </c>
    </row>
    <row r="25" spans="1:9" x14ac:dyDescent="0.25">
      <c r="A25">
        <v>4</v>
      </c>
      <c r="B25">
        <v>10000</v>
      </c>
      <c r="C25">
        <v>0.35</v>
      </c>
    </row>
    <row r="26" spans="1:9" x14ac:dyDescent="0.25">
      <c r="A26">
        <v>5</v>
      </c>
      <c r="B26">
        <v>4500</v>
      </c>
      <c r="C26">
        <v>0.3</v>
      </c>
    </row>
    <row r="27" spans="1:9" x14ac:dyDescent="0.25">
      <c r="A27">
        <v>6</v>
      </c>
      <c r="B27">
        <v>6500</v>
      </c>
      <c r="C27">
        <v>0.3</v>
      </c>
    </row>
    <row r="28" spans="1:9" x14ac:dyDescent="0.25">
      <c r="A28">
        <v>7</v>
      </c>
      <c r="B28">
        <v>7500</v>
      </c>
      <c r="C28">
        <v>0.35</v>
      </c>
    </row>
    <row r="29" spans="1:9" x14ac:dyDescent="0.25">
      <c r="A29">
        <v>8</v>
      </c>
      <c r="B29">
        <v>9000</v>
      </c>
      <c r="C29">
        <v>0.4</v>
      </c>
    </row>
    <row r="30" spans="1:9" x14ac:dyDescent="0.25">
      <c r="A30">
        <v>9</v>
      </c>
      <c r="B30">
        <v>6000</v>
      </c>
      <c r="C30">
        <v>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Korak_1</vt:lpstr>
      <vt:lpstr>Korak_2</vt:lpstr>
      <vt:lpstr>Korak_3</vt:lpstr>
      <vt:lpstr>Peskovnik</vt:lpstr>
      <vt:lpstr>Pomožno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2020-10-27T16:39:05Z</dcterms:created>
  <dcterms:modified xsi:type="dcterms:W3CDTF">2020-12-18T19:50:47Z</dcterms:modified>
</cp:coreProperties>
</file>