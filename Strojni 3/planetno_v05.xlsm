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šola\FS\1.semester\Strojni\vaje\2. poročilo\"/>
    </mc:Choice>
  </mc:AlternateContent>
  <xr:revisionPtr revIDLastSave="0" documentId="13_ncr:1_{A4647459-DC50-4BEE-B437-6DAEAA2FC1A5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4" i="3" l="1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7" i="1"/>
  <c r="F6" i="1"/>
  <c r="B7" i="1"/>
  <c r="B6" i="1"/>
  <c r="B6" i="5"/>
  <c r="F36" i="1"/>
  <c r="B13" i="1"/>
  <c r="F13" i="1"/>
  <c r="B3" i="5"/>
  <c r="F37" i="1"/>
  <c r="F44" i="1"/>
  <c r="B8" i="5" l="1"/>
  <c r="H47" i="1"/>
  <c r="B4" i="3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F28" i="1"/>
  <c r="B38" i="1"/>
  <c r="B29" i="1"/>
  <c r="B28" i="1"/>
  <c r="B39" i="1" l="1"/>
  <c r="B40" i="1" s="1"/>
  <c r="B27" i="2"/>
  <c r="B24" i="2"/>
  <c r="B30" i="2" s="1"/>
  <c r="B31" i="2" l="1"/>
  <c r="B16" i="3"/>
  <c r="E30" i="3"/>
  <c r="B13" i="3" l="1"/>
  <c r="B12" i="3" l="1"/>
  <c r="N4" i="3" s="1"/>
  <c r="N9" i="3" l="1"/>
  <c r="AQ9" i="3" s="1"/>
  <c r="N25" i="3"/>
  <c r="AQ25" i="3" s="1"/>
  <c r="N7" i="3"/>
  <c r="AQ7" i="3" s="1"/>
  <c r="N24" i="3"/>
  <c r="AQ24" i="3" s="1"/>
  <c r="N5" i="3"/>
  <c r="AQ5" i="3" s="1"/>
  <c r="N6" i="3"/>
  <c r="AQ6" i="3" s="1"/>
  <c r="N17" i="3"/>
  <c r="AQ17" i="3" s="1"/>
  <c r="N18" i="3"/>
  <c r="AQ18" i="3" s="1"/>
  <c r="N10" i="3"/>
  <c r="AQ10" i="3" s="1"/>
  <c r="N19" i="3"/>
  <c r="AQ19" i="3" s="1"/>
  <c r="N26" i="3"/>
  <c r="AQ26" i="3" s="1"/>
  <c r="N13" i="3"/>
  <c r="AQ13" i="3" s="1"/>
  <c r="N8" i="3"/>
  <c r="AQ8" i="3" s="1"/>
  <c r="N15" i="3"/>
  <c r="AQ15" i="3" s="1"/>
  <c r="N21" i="3"/>
  <c r="AQ21" i="3" s="1"/>
  <c r="N29" i="3"/>
  <c r="AQ29" i="3" s="1"/>
  <c r="N20" i="3"/>
  <c r="AQ20" i="3" s="1"/>
  <c r="N28" i="3"/>
  <c r="AQ28" i="3" s="1"/>
  <c r="N11" i="3"/>
  <c r="AQ11" i="3" s="1"/>
  <c r="N27" i="3"/>
  <c r="AQ27" i="3" s="1"/>
  <c r="N12" i="3"/>
  <c r="AQ12" i="3" s="1"/>
  <c r="N22" i="3"/>
  <c r="AQ22" i="3" s="1"/>
  <c r="N16" i="3"/>
  <c r="AQ16" i="3" s="1"/>
  <c r="N14" i="3"/>
  <c r="AQ14" i="3" s="1"/>
  <c r="N23" i="3"/>
  <c r="AQ23" i="3" s="1"/>
  <c r="N30" i="3"/>
  <c r="AQ30" i="3" s="1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B15" i="1"/>
  <c r="L12" i="3" l="1"/>
  <c r="U12" i="3"/>
  <c r="L5" i="3"/>
  <c r="U5" i="3"/>
  <c r="U30" i="3"/>
  <c r="L30" i="3"/>
  <c r="L27" i="3"/>
  <c r="U27" i="3"/>
  <c r="L24" i="3"/>
  <c r="U24" i="3"/>
  <c r="U23" i="3"/>
  <c r="L23" i="3"/>
  <c r="L11" i="3"/>
  <c r="U11" i="3"/>
  <c r="U7" i="3"/>
  <c r="L7" i="3"/>
  <c r="U6" i="3"/>
  <c r="L6" i="3"/>
  <c r="L28" i="3"/>
  <c r="U28" i="3"/>
  <c r="U25" i="3"/>
  <c r="L25" i="3"/>
  <c r="U10" i="3"/>
  <c r="L10" i="3"/>
  <c r="L20" i="3"/>
  <c r="U20" i="3"/>
  <c r="U9" i="3"/>
  <c r="L9" i="3"/>
  <c r="U14" i="3"/>
  <c r="L14" i="3"/>
  <c r="U29" i="3"/>
  <c r="L29" i="3"/>
  <c r="U19" i="3"/>
  <c r="L19" i="3"/>
  <c r="U17" i="3"/>
  <c r="L17" i="3"/>
  <c r="L21" i="3"/>
  <c r="U21" i="3"/>
  <c r="L18" i="3"/>
  <c r="U18" i="3"/>
  <c r="L15" i="3"/>
  <c r="U15" i="3"/>
  <c r="L8" i="3"/>
  <c r="U8" i="3"/>
  <c r="U22" i="3"/>
  <c r="L22" i="3"/>
  <c r="U13" i="3"/>
  <c r="L13" i="3"/>
  <c r="U16" i="3"/>
  <c r="L16" i="3"/>
  <c r="U26" i="3"/>
  <c r="L26" i="3"/>
  <c r="F6" i="2"/>
  <c r="F12" i="2" s="1"/>
  <c r="L4" i="3"/>
  <c r="G8" i="2"/>
  <c r="C5" i="2"/>
  <c r="G4" i="2"/>
  <c r="B16" i="1"/>
  <c r="B14" i="1"/>
  <c r="B20" i="1" l="1"/>
  <c r="AL14" i="3"/>
  <c r="AK14" i="3"/>
  <c r="AM14" i="3" s="1"/>
  <c r="AK8" i="3"/>
  <c r="AL8" i="3"/>
  <c r="AL24" i="3"/>
  <c r="AK24" i="3"/>
  <c r="AL29" i="3"/>
  <c r="AK29" i="3"/>
  <c r="AL7" i="3"/>
  <c r="AK7" i="3"/>
  <c r="AL22" i="3"/>
  <c r="AK22" i="3"/>
  <c r="AM22" i="3" s="1"/>
  <c r="AK9" i="3"/>
  <c r="AL9" i="3"/>
  <c r="AL10" i="3"/>
  <c r="AK10" i="3"/>
  <c r="AM10" i="3" s="1"/>
  <c r="AL28" i="3"/>
  <c r="AK28" i="3"/>
  <c r="AM28" i="3" s="1"/>
  <c r="AK5" i="3"/>
  <c r="AL5" i="3"/>
  <c r="AK23" i="3"/>
  <c r="AM23" i="3" s="1"/>
  <c r="AL23" i="3"/>
  <c r="AL15" i="3"/>
  <c r="AK15" i="3"/>
  <c r="AL4" i="3"/>
  <c r="AK4" i="3"/>
  <c r="AK25" i="3"/>
  <c r="AL25" i="3"/>
  <c r="AL21" i="3"/>
  <c r="AK21" i="3"/>
  <c r="AM21" i="3" s="1"/>
  <c r="AL26" i="3"/>
  <c r="AK26" i="3"/>
  <c r="AM26" i="3" s="1"/>
  <c r="AL16" i="3"/>
  <c r="AK16" i="3"/>
  <c r="AM16" i="3" s="1"/>
  <c r="AL19" i="3"/>
  <c r="AK19" i="3"/>
  <c r="AL6" i="3"/>
  <c r="AK6" i="3"/>
  <c r="AL13" i="3"/>
  <c r="AK13" i="3"/>
  <c r="AL11" i="3"/>
  <c r="AK11" i="3"/>
  <c r="AM11" i="3" s="1"/>
  <c r="AL20" i="3"/>
  <c r="AK20" i="3"/>
  <c r="AL18" i="3"/>
  <c r="AK18" i="3"/>
  <c r="AM18" i="3" s="1"/>
  <c r="AL27" i="3"/>
  <c r="AK27" i="3"/>
  <c r="AM27" i="3" s="1"/>
  <c r="AL30" i="3"/>
  <c r="AK30" i="3"/>
  <c r="AM30" i="3" s="1"/>
  <c r="AK17" i="3"/>
  <c r="AL17" i="3"/>
  <c r="AL12" i="3"/>
  <c r="AK12" i="3"/>
  <c r="Q15" i="3"/>
  <c r="Q22" i="3"/>
  <c r="Q18" i="3"/>
  <c r="Q6" i="3"/>
  <c r="Q25" i="3"/>
  <c r="Q26" i="3"/>
  <c r="Q16" i="3"/>
  <c r="Q29" i="3"/>
  <c r="G6" i="2"/>
  <c r="F5" i="2"/>
  <c r="F11" i="2"/>
  <c r="F10" i="2"/>
  <c r="Q8" i="3"/>
  <c r="Q10" i="3"/>
  <c r="Q30" i="3"/>
  <c r="Q14" i="3"/>
  <c r="Q24" i="3"/>
  <c r="Q23" i="3"/>
  <c r="Q9" i="3"/>
  <c r="Q7" i="3"/>
  <c r="Q27" i="3"/>
  <c r="Q5" i="3"/>
  <c r="Q28" i="3"/>
  <c r="Q19" i="3"/>
  <c r="Q20" i="3"/>
  <c r="Q12" i="3"/>
  <c r="Q11" i="3"/>
  <c r="Q21" i="3"/>
  <c r="Q13" i="3"/>
  <c r="Q17" i="3"/>
  <c r="Q4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4" i="3" l="1"/>
  <c r="AM7" i="3"/>
  <c r="AM25" i="3"/>
  <c r="AM13" i="3"/>
  <c r="AM15" i="3"/>
  <c r="AM29" i="3"/>
  <c r="AM12" i="3"/>
  <c r="AM6" i="3"/>
  <c r="AM24" i="3"/>
  <c r="AM9" i="3"/>
  <c r="AM19" i="3"/>
  <c r="AM20" i="3"/>
  <c r="AM17" i="3"/>
  <c r="AM5" i="3"/>
  <c r="AM8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AB23" i="3"/>
  <c r="AB8" i="3"/>
  <c r="AB30" i="3"/>
  <c r="AB29" i="3"/>
  <c r="AB14" i="3"/>
  <c r="AB16" i="3"/>
  <c r="AB5" i="3"/>
  <c r="AB7" i="3"/>
  <c r="AB11" i="3"/>
  <c r="AB24" i="3"/>
  <c r="AB21" i="3"/>
  <c r="AB20" i="3"/>
  <c r="AB15" i="3"/>
  <c r="AB13" i="3"/>
  <c r="AB9" i="3"/>
  <c r="AB10" i="3"/>
  <c r="AB26" i="3"/>
  <c r="AB17" i="3"/>
  <c r="AB18" i="3"/>
  <c r="AB25" i="3"/>
  <c r="AB4" i="3"/>
  <c r="AB6" i="3"/>
  <c r="AB19" i="3"/>
  <c r="AB28" i="3"/>
  <c r="AB27" i="3"/>
  <c r="AB12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AB22" i="3"/>
  <c r="B10" i="1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K16" i="3"/>
  <c r="M16" i="3"/>
  <c r="O16" i="3"/>
  <c r="C13" i="1"/>
  <c r="B23" i="1" s="1"/>
  <c r="C15" i="1"/>
  <c r="D15" i="1" s="1"/>
  <c r="C14" i="1"/>
  <c r="D14" i="1" s="1"/>
  <c r="Z16" i="3" l="1"/>
  <c r="AR16" i="3" s="1"/>
  <c r="Z20" i="3"/>
  <c r="AR20" i="3" s="1"/>
  <c r="Z19" i="3"/>
  <c r="AR19" i="3" s="1"/>
  <c r="Z24" i="3"/>
  <c r="AR24" i="3" s="1"/>
  <c r="Z25" i="3"/>
  <c r="AR25" i="3" s="1"/>
  <c r="Z18" i="3"/>
  <c r="AR18" i="3" s="1"/>
  <c r="Z13" i="3"/>
  <c r="AR13" i="3" s="1"/>
  <c r="Z10" i="3"/>
  <c r="AR10" i="3" s="1"/>
  <c r="Z9" i="3"/>
  <c r="AR9" i="3" s="1"/>
  <c r="Z27" i="3"/>
  <c r="AR27" i="3" s="1"/>
  <c r="Z11" i="3"/>
  <c r="AR11" i="3" s="1"/>
  <c r="Z28" i="3"/>
  <c r="AR28" i="3" s="1"/>
  <c r="Z4" i="3"/>
  <c r="AR4" i="3" s="1"/>
  <c r="Z21" i="3"/>
  <c r="AR21" i="3" s="1"/>
  <c r="Z12" i="3"/>
  <c r="AR12" i="3" s="1"/>
  <c r="Z26" i="3"/>
  <c r="AR26" i="3" s="1"/>
  <c r="Z7" i="3"/>
  <c r="AR7" i="3" s="1"/>
  <c r="Z29" i="3"/>
  <c r="AR29" i="3" s="1"/>
  <c r="Z8" i="3"/>
  <c r="AR8" i="3" s="1"/>
  <c r="Z30" i="3"/>
  <c r="AR30" i="3" s="1"/>
  <c r="Z6" i="3"/>
  <c r="AR6" i="3" s="1"/>
  <c r="Z15" i="3"/>
  <c r="AR15" i="3" s="1"/>
  <c r="Z14" i="3"/>
  <c r="AR14" i="3" s="1"/>
  <c r="Z17" i="3"/>
  <c r="AR17" i="3" s="1"/>
  <c r="Z5" i="3"/>
  <c r="AR5" i="3" s="1"/>
  <c r="Z23" i="3"/>
  <c r="AR23" i="3" s="1"/>
  <c r="Z22" i="3"/>
  <c r="AR22" i="3" s="1"/>
  <c r="D13" i="1"/>
  <c r="B30" i="1" s="1"/>
  <c r="B4" i="1"/>
  <c r="B21" i="1"/>
  <c r="B25" i="1" s="1"/>
  <c r="B24" i="1"/>
  <c r="F15" i="1"/>
  <c r="X26" i="3" l="1"/>
  <c r="AC26" i="3" s="1"/>
  <c r="X11" i="3"/>
  <c r="X13" i="3"/>
  <c r="AG15" i="3"/>
  <c r="AG18" i="3"/>
  <c r="X5" i="3"/>
  <c r="X6" i="3"/>
  <c r="AG25" i="3"/>
  <c r="AG4" i="3"/>
  <c r="X27" i="3"/>
  <c r="AC27" i="3" s="1"/>
  <c r="X30" i="3"/>
  <c r="AC30" i="3" s="1"/>
  <c r="X21" i="3"/>
  <c r="X9" i="3"/>
  <c r="AC9" i="3" s="1"/>
  <c r="AG19" i="3"/>
  <c r="X28" i="3"/>
  <c r="AC28" i="3" s="1"/>
  <c r="X10" i="3"/>
  <c r="X20" i="3"/>
  <c r="AG24" i="3"/>
  <c r="AG20" i="3"/>
  <c r="X25" i="3"/>
  <c r="X24" i="3"/>
  <c r="X19" i="3"/>
  <c r="X18" i="3"/>
  <c r="AG16" i="3"/>
  <c r="X16" i="3"/>
  <c r="X7" i="3"/>
  <c r="AG7" i="3"/>
  <c r="AG8" i="3"/>
  <c r="X8" i="3"/>
  <c r="AG13" i="3"/>
  <c r="AG11" i="3"/>
  <c r="AG10" i="3"/>
  <c r="AG9" i="3"/>
  <c r="AG26" i="3"/>
  <c r="X12" i="3"/>
  <c r="X4" i="3"/>
  <c r="AG27" i="3"/>
  <c r="AG28" i="3"/>
  <c r="AG12" i="3"/>
  <c r="AG21" i="3"/>
  <c r="AG30" i="3"/>
  <c r="AG6" i="3"/>
  <c r="X17" i="3"/>
  <c r="X15" i="3"/>
  <c r="AG5" i="3"/>
  <c r="AG17" i="3"/>
  <c r="AG14" i="3"/>
  <c r="AG29" i="3"/>
  <c r="X29" i="3"/>
  <c r="X14" i="3"/>
  <c r="X23" i="3"/>
  <c r="AG23" i="3"/>
  <c r="F16" i="1"/>
  <c r="AG22" i="3"/>
  <c r="X22" i="3"/>
  <c r="AC11" i="3"/>
  <c r="B34" i="1"/>
  <c r="B45" i="1"/>
  <c r="AC6" i="3"/>
  <c r="F3" i="4"/>
  <c r="F6" i="4"/>
  <c r="B51" i="1"/>
  <c r="G3" i="4"/>
  <c r="H3" i="4"/>
  <c r="G6" i="4"/>
  <c r="B31" i="1"/>
  <c r="I3" i="4"/>
  <c r="H6" i="4"/>
  <c r="I6" i="4"/>
  <c r="AC13" i="3"/>
  <c r="AC25" i="3"/>
  <c r="AC5" i="3"/>
  <c r="F19" i="1"/>
  <c r="F20" i="1" s="1"/>
  <c r="F14" i="1"/>
  <c r="G17" i="3"/>
  <c r="F21" i="1" l="1"/>
  <c r="F17" i="1"/>
  <c r="AN15" i="3"/>
  <c r="AO15" i="3"/>
  <c r="AN16" i="3"/>
  <c r="AO16" i="3"/>
  <c r="AO22" i="3"/>
  <c r="AN22" i="3"/>
  <c r="AN6" i="3"/>
  <c r="AO6" i="3"/>
  <c r="AO21" i="3"/>
  <c r="AN21" i="3"/>
  <c r="AN7" i="3"/>
  <c r="AO7" i="3"/>
  <c r="AO5" i="3"/>
  <c r="AN5" i="3"/>
  <c r="AN24" i="3"/>
  <c r="AO24" i="3"/>
  <c r="AO30" i="3"/>
  <c r="AN30" i="3"/>
  <c r="AC21" i="3"/>
  <c r="AO4" i="3"/>
  <c r="AN4" i="3"/>
  <c r="AN25" i="3"/>
  <c r="AO25" i="3"/>
  <c r="AO27" i="3"/>
  <c r="AN27" i="3"/>
  <c r="AO23" i="3"/>
  <c r="AN23" i="3"/>
  <c r="AO12" i="3"/>
  <c r="AN12" i="3"/>
  <c r="AO13" i="3"/>
  <c r="AN13" i="3"/>
  <c r="AN10" i="3"/>
  <c r="AO10" i="3"/>
  <c r="AO8" i="3"/>
  <c r="AN8" i="3"/>
  <c r="AO19" i="3"/>
  <c r="AN19" i="3"/>
  <c r="AO14" i="3"/>
  <c r="AN14" i="3"/>
  <c r="AO11" i="3"/>
  <c r="AN11" i="3"/>
  <c r="AO28" i="3"/>
  <c r="AN28" i="3"/>
  <c r="AN9" i="3"/>
  <c r="AO9" i="3"/>
  <c r="AO17" i="3"/>
  <c r="AN17" i="3"/>
  <c r="AN18" i="3"/>
  <c r="AO18" i="3"/>
  <c r="AO29" i="3"/>
  <c r="AN29" i="3"/>
  <c r="AO20" i="3"/>
  <c r="AN20" i="3"/>
  <c r="AO26" i="3"/>
  <c r="AN26" i="3"/>
  <c r="AC24" i="3"/>
  <c r="AD24" i="3" s="1"/>
  <c r="AE24" i="3" s="1"/>
  <c r="AC17" i="3"/>
  <c r="AD17" i="3" s="1"/>
  <c r="AE17" i="3" s="1"/>
  <c r="AC16" i="3"/>
  <c r="AD16" i="3" s="1"/>
  <c r="AE16" i="3" s="1"/>
  <c r="AC14" i="3"/>
  <c r="AD14" i="3" s="1"/>
  <c r="AE14" i="3" s="1"/>
  <c r="AC10" i="3"/>
  <c r="AD10" i="3" s="1"/>
  <c r="AE10" i="3" s="1"/>
  <c r="AC19" i="3"/>
  <c r="AD19" i="3" s="1"/>
  <c r="AE19" i="3" s="1"/>
  <c r="AC20" i="3"/>
  <c r="AD20" i="3" s="1"/>
  <c r="AE20" i="3" s="1"/>
  <c r="AC18" i="3"/>
  <c r="AD18" i="3" s="1"/>
  <c r="AE18" i="3" s="1"/>
  <c r="AC7" i="3"/>
  <c r="AD7" i="3" s="1"/>
  <c r="AE7" i="3" s="1"/>
  <c r="AC8" i="3"/>
  <c r="AD8" i="3" s="1"/>
  <c r="AE8" i="3" s="1"/>
  <c r="AC4" i="3"/>
  <c r="AC12" i="3"/>
  <c r="AD12" i="3" s="1"/>
  <c r="AE12" i="3" s="1"/>
  <c r="AC15" i="3"/>
  <c r="AD15" i="3" s="1"/>
  <c r="AE15" i="3" s="1"/>
  <c r="AC23" i="3"/>
  <c r="AD23" i="3" s="1"/>
  <c r="AE23" i="3" s="1"/>
  <c r="AC29" i="3"/>
  <c r="AD29" i="3" s="1"/>
  <c r="AE29" i="3" s="1"/>
  <c r="AD21" i="3"/>
  <c r="AE21" i="3" s="1"/>
  <c r="AD30" i="3"/>
  <c r="AE30" i="3" s="1"/>
  <c r="AD6" i="3"/>
  <c r="AE6" i="3" s="1"/>
  <c r="AD11" i="3"/>
  <c r="AE11" i="3" s="1"/>
  <c r="AD13" i="3"/>
  <c r="AE13" i="3" s="1"/>
  <c r="AD28" i="3"/>
  <c r="AE28" i="3" s="1"/>
  <c r="AD9" i="3"/>
  <c r="AE9" i="3" s="1"/>
  <c r="AD25" i="3"/>
  <c r="AE25" i="3" s="1"/>
  <c r="AD26" i="3"/>
  <c r="AE26" i="3" s="1"/>
  <c r="AD5" i="3"/>
  <c r="AE5" i="3" s="1"/>
  <c r="AD27" i="3"/>
  <c r="AE27" i="3" s="1"/>
  <c r="H11" i="1"/>
  <c r="H17" i="3"/>
  <c r="C9" i="5"/>
  <c r="C8" i="5" s="1"/>
  <c r="C6" i="5" s="1"/>
  <c r="C3" i="5" s="1"/>
  <c r="AC22" i="3"/>
  <c r="B41" i="1"/>
  <c r="F2" i="4"/>
  <c r="I2" i="4"/>
  <c r="H2" i="4"/>
  <c r="G2" i="4"/>
  <c r="G5" i="4"/>
  <c r="F5" i="4"/>
  <c r="I5" i="4"/>
  <c r="H5" i="4"/>
  <c r="F10" i="1"/>
  <c r="B53" i="1"/>
  <c r="B35" i="1"/>
  <c r="AP11" i="3" l="1"/>
  <c r="AP30" i="3"/>
  <c r="AP27" i="3"/>
  <c r="AP19" i="3"/>
  <c r="AP4" i="3"/>
  <c r="AP22" i="3"/>
  <c r="AP12" i="3"/>
  <c r="AP28" i="3"/>
  <c r="AP23" i="3"/>
  <c r="AP20" i="3"/>
  <c r="AP18" i="3"/>
  <c r="AP10" i="3"/>
  <c r="AP26" i="3"/>
  <c r="AP14" i="3"/>
  <c r="AP17" i="3"/>
  <c r="AP13" i="3"/>
  <c r="AP5" i="3"/>
  <c r="AP7" i="3"/>
  <c r="AP21" i="3"/>
  <c r="AP16" i="3"/>
  <c r="AI16" i="3"/>
  <c r="AS16" i="3" s="1"/>
  <c r="AU16" i="3"/>
  <c r="AU7" i="3"/>
  <c r="AI7" i="3"/>
  <c r="AS7" i="3" s="1"/>
  <c r="AI19" i="3"/>
  <c r="AS19" i="3" s="1"/>
  <c r="AU19" i="3"/>
  <c r="AU28" i="3"/>
  <c r="AI28" i="3"/>
  <c r="AS28" i="3" s="1"/>
  <c r="AP9" i="3"/>
  <c r="AI10" i="3"/>
  <c r="AS10" i="3" s="1"/>
  <c r="AU10" i="3"/>
  <c r="AI18" i="3"/>
  <c r="AS18" i="3" s="1"/>
  <c r="AU18" i="3"/>
  <c r="AI13" i="3"/>
  <c r="AS13" i="3" s="1"/>
  <c r="AU13" i="3"/>
  <c r="AI24" i="3"/>
  <c r="AS24" i="3" s="1"/>
  <c r="AU24" i="3"/>
  <c r="AU14" i="3"/>
  <c r="AI14" i="3"/>
  <c r="AS14" i="3" s="1"/>
  <c r="AP6" i="3"/>
  <c r="AI17" i="3"/>
  <c r="AS17" i="3" s="1"/>
  <c r="AU17" i="3"/>
  <c r="AU29" i="3"/>
  <c r="AI29" i="3"/>
  <c r="AS29" i="3" s="1"/>
  <c r="AP25" i="3"/>
  <c r="AU23" i="3"/>
  <c r="AI23" i="3"/>
  <c r="AS23" i="3" s="1"/>
  <c r="AI25" i="3"/>
  <c r="AS25" i="3" s="1"/>
  <c r="AU25" i="3"/>
  <c r="AU6" i="3"/>
  <c r="AI6" i="3"/>
  <c r="AS6" i="3" s="1"/>
  <c r="AI27" i="3"/>
  <c r="AS27" i="3" s="1"/>
  <c r="AU27" i="3"/>
  <c r="AU15" i="3"/>
  <c r="AI15" i="3"/>
  <c r="AS15" i="3" s="1"/>
  <c r="AP24" i="3"/>
  <c r="AU30" i="3"/>
  <c r="AI30" i="3"/>
  <c r="AS30" i="3" s="1"/>
  <c r="AI5" i="3"/>
  <c r="AS5" i="3" s="1"/>
  <c r="AU5" i="3"/>
  <c r="AI12" i="3"/>
  <c r="AS12" i="3" s="1"/>
  <c r="AU12" i="3"/>
  <c r="AP29" i="3"/>
  <c r="AP8" i="3"/>
  <c r="AI9" i="3"/>
  <c r="AS9" i="3" s="1"/>
  <c r="AU9" i="3"/>
  <c r="AI26" i="3"/>
  <c r="AS26" i="3" s="1"/>
  <c r="AU26" i="3"/>
  <c r="AI20" i="3"/>
  <c r="AS20" i="3" s="1"/>
  <c r="AU20" i="3"/>
  <c r="AI11" i="3"/>
  <c r="AS11" i="3" s="1"/>
  <c r="AU11" i="3"/>
  <c r="AU21" i="3"/>
  <c r="AI21" i="3"/>
  <c r="AS21" i="3" s="1"/>
  <c r="AI8" i="3"/>
  <c r="AS8" i="3" s="1"/>
  <c r="AU8" i="3"/>
  <c r="AP15" i="3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D22" i="3"/>
  <c r="AE22" i="3" s="1"/>
  <c r="AD4" i="3"/>
  <c r="AE4" i="3" s="1"/>
  <c r="F11" i="1"/>
  <c r="F32" i="1"/>
  <c r="F33" i="1" s="1"/>
  <c r="B42" i="1"/>
  <c r="B47" i="1" s="1"/>
  <c r="B54" i="1"/>
  <c r="B55" i="1" s="1"/>
  <c r="AT5" i="3" l="1"/>
  <c r="AU22" i="3"/>
  <c r="AI22" i="3"/>
  <c r="AS22" i="3" s="1"/>
  <c r="AU4" i="3"/>
  <c r="AI4" i="3"/>
  <c r="AS4" i="3" s="1"/>
  <c r="AA23" i="3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Y6" i="3"/>
  <c r="AA6" i="3"/>
  <c r="AJ6" i="3" s="1"/>
  <c r="AT6" i="3" s="1"/>
  <c r="W28" i="3"/>
  <c r="AA25" i="3"/>
  <c r="AJ25" i="3" s="1"/>
  <c r="AT25" i="3" s="1"/>
  <c r="W25" i="3"/>
  <c r="AA15" i="3"/>
  <c r="AJ15" i="3" s="1"/>
  <c r="AT15" i="3" s="1"/>
  <c r="AA28" i="3"/>
  <c r="AJ28" i="3" s="1"/>
  <c r="AT28" i="3" s="1"/>
  <c r="W15" i="3"/>
  <c r="Y11" i="3"/>
  <c r="W24" i="3"/>
  <c r="AA11" i="3"/>
  <c r="AJ11" i="3" s="1"/>
  <c r="AT11" i="3" s="1"/>
  <c r="W11" i="3"/>
  <c r="Y18" i="3"/>
  <c r="Y16" i="3"/>
  <c r="Y14" i="3"/>
  <c r="W13" i="3"/>
  <c r="W18" i="3"/>
  <c r="AA13" i="3"/>
  <c r="AJ13" i="3" s="1"/>
  <c r="AT13" i="3" s="1"/>
  <c r="AA14" i="3"/>
  <c r="AJ14" i="3" s="1"/>
  <c r="AT14" i="3" s="1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Y8" i="3"/>
  <c r="AA8" i="3"/>
  <c r="AJ8" i="3" s="1"/>
  <c r="AT8" i="3" s="1"/>
  <c r="W9" i="3"/>
  <c r="Y10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W2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G15" i="1"/>
  <c r="F24" i="1" s="1"/>
  <c r="G14" i="1"/>
  <c r="H14" i="1" s="1"/>
  <c r="G13" i="1"/>
  <c r="F23" i="1" s="1"/>
  <c r="Y22" i="3" l="1"/>
  <c r="AA22" i="3"/>
  <c r="AJ22" i="3" s="1"/>
  <c r="AT22" i="3" s="1"/>
  <c r="W4" i="3"/>
  <c r="Y4" i="3"/>
  <c r="F25" i="1"/>
  <c r="H13" i="1"/>
  <c r="F30" i="1" s="1"/>
  <c r="F4" i="1"/>
  <c r="H15" i="1"/>
  <c r="F31" i="1" l="1"/>
  <c r="F51" i="1"/>
  <c r="F34" i="1"/>
  <c r="F45" i="1"/>
  <c r="F35" i="1"/>
  <c r="F53" i="1"/>
  <c r="F41" i="1" l="1"/>
  <c r="F42" i="1" l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B1" authorId="0" shapeId="0" xr:uid="{49B371F6-1246-4440-AC51-48BC7A0662B0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Korak_2 vrednost Y_X (celica I33))
-samo za ravna ozobja (za poševna je potrebno spremenit v 2. Korak vrednost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<sst xmlns="http://schemas.openxmlformats.org/spreadsheetml/2006/main" count="348" uniqueCount="167">
  <si>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</si>
  <si>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</si>
  <si>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</si>
  <si>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</si>
  <si>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</si>
  <si>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</si>
  <si>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</si>
  <si>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</si>
  <si>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</si>
  <si>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</si>
  <si>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</si>
  <si>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</si>
  <si>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</si>
  <si>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</si>
  <si>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</si>
  <si>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</si>
  <si>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</si>
  <si>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</si>
  <si>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</si>
  <si>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</si>
  <si>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</si>
  <si>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</si>
  <si>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</si>
  <si>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</si>
  <si>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</si>
  <si>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</si>
  <si>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</si>
  <si>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</si>
  <si>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</si>
  <si>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</si>
  <si>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</si>
  <si>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</si>
  <si>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</si>
  <si>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</si>
  <si>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</si>
  <si>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</si>
  <si>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</si>
  <si>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</si>
  <si>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</si>
  <si>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</si>
  <si>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</si>
  <si>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</si>
  <si>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</si>
  <si>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</si>
  <si>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</si>
  <si>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</si>
  <si>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</si>
  <si>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</si>
  <si>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</si>
  <si>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</si>
  <si>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</si>
  <si>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</si>
  <si>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</si>
  <si>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</si>
  <si>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</si>
  <si>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</si>
  <si>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</si>
  <si>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</si>
  <si>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</si>
  <si>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</si>
  <si>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</si>
  <si>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</si>
  <si>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</si>
  <si>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</si>
  <si>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</si>
  <si>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</si>
  <si>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</si>
  <si>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</si>
  <si>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</si>
  <si>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</si>
  <si>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</si>
  <si>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</si>
  <si>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</si>
  <si>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</si>
  <si>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</si>
  <si>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</si>
  <si>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</si>
  <si>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</si>
  <si>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</si>
  <si>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</si>
  <si>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</si>
  <si>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</si>
  <si>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</si>
  <si>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</si>
  <si>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</si>
  <si>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</si>
  <si>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</si>
  <si>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</si>
  <si>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</si>
  <si>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</si>
  <si>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</si>
  <si>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</si>
  <si>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</si>
  <si>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</si>
  <si>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</si>
  <si>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</si>
  <si>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</si>
  <si>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</si>
  <si>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</si>
  <si>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</si>
  <si>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</si>
  <si>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</si>
  <si>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</si>
  <si>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</si>
  <si>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</si>
  <si>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</si>
  <si>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</si>
  <si>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</si>
  <si>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</si>
  <si>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</si>
  <si>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</si>
  <si>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</si>
  <si>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</si>
  <si>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</si>
  <si>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</si>
  <si>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</si>
  <si>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</si>
  <si>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</si>
  <si>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</si>
  <si>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</si>
  <si>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</si>
  <si>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</si>
  <si>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</si>
  <si>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</si>
  <si>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</si>
  <si>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</si>
  <si>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</si>
  <si>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</si>
  <si>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</si>
  <si>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</si>
  <si>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</si>
  <si>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</si>
  <si>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</si>
  <si>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</si>
  <si>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</si>
  <si>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</si>
  <si>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</si>
  <si>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</si>
  <si>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</si>
  <si>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</si>
  <si>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</si>
  <si>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</si>
  <si>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</si>
  <si>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</si>
  <si>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</si>
  <si>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</si>
  <si>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</si>
  <si>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</si>
  <si>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</si>
  <si>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</si>
  <si>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</si>
  <si>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</si>
  <si>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</si>
  <si>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</si>
  <si>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</si>
  <si>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</si>
  <si>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</si>
  <si>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</si>
  <si>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</si>
  <si>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</si>
  <si>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</si>
  <si>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</si>
  <si>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Frekvenca bobna</t>
  </si>
  <si>
    <t>minstena</t>
  </si>
  <si>
    <t>ψ</t>
  </si>
  <si>
    <t>β</t>
  </si>
  <si>
    <t>Moč motorja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</si>
</sst>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6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6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11" fontId="0" fillId="28" borderId="6" xfId="0" applyNumberFormat="1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2" borderId="52" xfId="0" applyFill="1" applyBorder="1"/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26" borderId="59" xfId="0" applyFill="1" applyBorder="1" applyAlignment="1">
      <alignment horizontal="center"/>
    </xf>
    <xf numFmtId="2" fontId="0" fillId="4" borderId="1" xfId="0" applyNumberFormat="1" applyFill="1" applyBorder="1"/>
    <xf numFmtId="1" fontId="0" fillId="4" borderId="1" xfId="0" applyNumberFormat="1" applyFill="1" applyBorder="1"/>
    <xf numFmtId="2" fontId="0" fillId="4" borderId="8" xfId="0" applyNumberFormat="1" applyFill="1" applyBorder="1"/>
    <xf numFmtId="2" fontId="2" fillId="4" borderId="8" xfId="0" applyNumberFormat="1" applyFont="1" applyFill="1" applyBorder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6600CC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206.5</c:v>
                </c:pt>
                <c:pt idx="1">
                  <c:v>190.5</c:v>
                </c:pt>
                <c:pt idx="2">
                  <c:v>187</c:v>
                </c:pt>
                <c:pt idx="3">
                  <c:v>196.625</c:v>
                </c:pt>
                <c:pt idx="4">
                  <c:v>209</c:v>
                </c:pt>
                <c:pt idx="5">
                  <c:v>181.125</c:v>
                </c:pt>
                <c:pt idx="6">
                  <c:v>189</c:v>
                </c:pt>
                <c:pt idx="7">
                  <c:v>199.125</c:v>
                </c:pt>
                <c:pt idx="8">
                  <c:v>186</c:v>
                </c:pt>
                <c:pt idx="9">
                  <c:v>193</c:v>
                </c:pt>
                <c:pt idx="10">
                  <c:v>202</c:v>
                </c:pt>
                <c:pt idx="11">
                  <c:v>211</c:v>
                </c:pt>
                <c:pt idx="12">
                  <c:v>220</c:v>
                </c:pt>
                <c:pt idx="13">
                  <c:v>227</c:v>
                </c:pt>
                <c:pt idx="14">
                  <c:v>236</c:v>
                </c:pt>
                <c:pt idx="15">
                  <c:v>245</c:v>
                </c:pt>
                <c:pt idx="16">
                  <c:v>252</c:v>
                </c:pt>
                <c:pt idx="17">
                  <c:v>261</c:v>
                </c:pt>
                <c:pt idx="18">
                  <c:v>270</c:v>
                </c:pt>
                <c:pt idx="19">
                  <c:v>279</c:v>
                </c:pt>
                <c:pt idx="20">
                  <c:v>286</c:v>
                </c:pt>
                <c:pt idx="21">
                  <c:v>295</c:v>
                </c:pt>
                <c:pt idx="22">
                  <c:v>304</c:v>
                </c:pt>
                <c:pt idx="23">
                  <c:v>311</c:v>
                </c:pt>
                <c:pt idx="24">
                  <c:v>320</c:v>
                </c:pt>
                <c:pt idx="25">
                  <c:v>329</c:v>
                </c:pt>
                <c:pt idx="26">
                  <c:v>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224</c:v>
                </c:pt>
                <c:pt idx="1">
                  <c:v>201</c:v>
                </c:pt>
                <c:pt idx="2">
                  <c:v>198</c:v>
                </c:pt>
                <c:pt idx="3">
                  <c:v>211.75</c:v>
                </c:pt>
                <c:pt idx="4">
                  <c:v>205</c:v>
                </c:pt>
                <c:pt idx="5">
                  <c:v>212.5</c:v>
                </c:pt>
                <c:pt idx="6">
                  <c:v>202.5</c:v>
                </c:pt>
                <c:pt idx="7">
                  <c:v>213.75</c:v>
                </c:pt>
                <c:pt idx="8">
                  <c:v>200</c:v>
                </c:pt>
                <c:pt idx="9">
                  <c:v>206</c:v>
                </c:pt>
                <c:pt idx="10">
                  <c:v>216</c:v>
                </c:pt>
                <c:pt idx="11">
                  <c:v>197.75</c:v>
                </c:pt>
                <c:pt idx="12">
                  <c:v>206.5</c:v>
                </c:pt>
                <c:pt idx="13">
                  <c:v>211.75</c:v>
                </c:pt>
                <c:pt idx="14">
                  <c:v>220.5</c:v>
                </c:pt>
                <c:pt idx="15">
                  <c:v>196.5</c:v>
                </c:pt>
                <c:pt idx="16">
                  <c:v>204</c:v>
                </c:pt>
                <c:pt idx="17">
                  <c:v>208.5</c:v>
                </c:pt>
                <c:pt idx="18">
                  <c:v>198</c:v>
                </c:pt>
                <c:pt idx="19">
                  <c:v>204.875</c:v>
                </c:pt>
                <c:pt idx="20">
                  <c:v>211.75</c:v>
                </c:pt>
                <c:pt idx="21">
                  <c:v>215.875</c:v>
                </c:pt>
                <c:pt idx="22">
                  <c:v>222.75</c:v>
                </c:pt>
                <c:pt idx="23">
                  <c:v>229.625</c:v>
                </c:pt>
                <c:pt idx="24">
                  <c:v>236.5</c:v>
                </c:pt>
                <c:pt idx="25">
                  <c:v>196.875</c:v>
                </c:pt>
                <c:pt idx="26">
                  <c:v>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208</c:v>
                </c:pt>
                <c:pt idx="2">
                  <c:v>209.5</c:v>
                </c:pt>
                <c:pt idx="3">
                  <c:v>209.5</c:v>
                </c:pt>
                <c:pt idx="4">
                  <c:v>211</c:v>
                </c:pt>
                <c:pt idx="5">
                  <c:v>211</c:v>
                </c:pt>
                <c:pt idx="6">
                  <c:v>212.5</c:v>
                </c:pt>
                <c:pt idx="7">
                  <c:v>212.5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215.5</c:v>
                </c:pt>
                <c:pt idx="12">
                  <c:v>215.5</c:v>
                </c:pt>
                <c:pt idx="13">
                  <c:v>215.5</c:v>
                </c:pt>
                <c:pt idx="14">
                  <c:v>215.5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217.75</c:v>
                </c:pt>
                <c:pt idx="19">
                  <c:v>217.75</c:v>
                </c:pt>
                <c:pt idx="20">
                  <c:v>217.75</c:v>
                </c:pt>
                <c:pt idx="21">
                  <c:v>217.75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219.25</c:v>
                </c:pt>
                <c:pt idx="26">
                  <c:v>219.25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4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l-SI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Generiraj Latex enačbe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tabSelected="1" workbookViewId="0">
      <selection activeCell="B1" sqref="B1"/>
    </sheetView>
  </sheetViews>
  <sheetFormatPr defaultRowHeight="15" x14ac:dyDescent="0.25"/>
  <cols>
    <col min="1" max="1" width="18.42578125" bestFit="1" customWidth="1"/>
  </cols>
  <sheetData>
    <row r="1" spans="1:4" x14ac:dyDescent="0.25">
      <c r="A1" s="3" t="s">
        <v>11</v>
      </c>
      <c r="B1" s="96">
        <v>4</v>
      </c>
      <c r="C1" s="103"/>
      <c r="D1" s="102"/>
    </row>
    <row r="2" spans="1:4" x14ac:dyDescent="0.25">
      <c r="A2" s="4" t="s">
        <v>0</v>
      </c>
      <c r="B2" s="1" t="s">
        <v>8</v>
      </c>
      <c r="C2" s="1" t="s">
        <v>9</v>
      </c>
      <c r="D2" s="104"/>
    </row>
    <row r="3" spans="1:4" x14ac:dyDescent="0.25">
      <c r="A3" s="97" t="s">
        <v>1</v>
      </c>
      <c r="B3" s="95">
        <f ca="1">INDIRECT("Pomožno!B"&amp;B1+21)</f>
        <v>10000</v>
      </c>
      <c r="C3" s="238">
        <f ca="1">(C4*0.9)/C6*1000</f>
        <v>10249.182919110381</v>
      </c>
      <c r="D3" s="98" t="s">
        <v>3</v>
      </c>
    </row>
    <row r="4" spans="1:4" x14ac:dyDescent="0.25">
      <c r="A4" s="97" t="s">
        <v>166</v>
      </c>
      <c r="B4" s="238">
        <f ca="1">B3*B6/(0.9*1000)</f>
        <v>3888.8888888888887</v>
      </c>
      <c r="C4" s="44">
        <v>4000</v>
      </c>
      <c r="D4" s="98" t="s">
        <v>5</v>
      </c>
    </row>
    <row r="5" spans="1:4" x14ac:dyDescent="0.25">
      <c r="A5" s="97" t="s">
        <v>79</v>
      </c>
      <c r="B5" s="44">
        <v>24</v>
      </c>
      <c r="C5" s="2">
        <f>B5</f>
        <v>24</v>
      </c>
      <c r="D5" s="98" t="s">
        <v>10</v>
      </c>
    </row>
    <row r="6" spans="1:4" x14ac:dyDescent="0.25">
      <c r="A6" s="97" t="s">
        <v>2</v>
      </c>
      <c r="B6" s="95">
        <f ca="1">INDIRECT("Pomožno!C"&amp;B1+21)*1000</f>
        <v>350</v>
      </c>
      <c r="C6" s="237">
        <f ca="1">PI()*Korak_2!B15*C8</f>
        <v>351.24751196385876</v>
      </c>
      <c r="D6" s="98" t="s">
        <v>14</v>
      </c>
    </row>
    <row r="7" spans="1:4" x14ac:dyDescent="0.25">
      <c r="A7" s="97" t="s">
        <v>6</v>
      </c>
      <c r="B7" s="95">
        <f>Korak_2!B15</f>
        <v>240</v>
      </c>
      <c r="C7" s="95">
        <f>Korak_2!B15</f>
        <v>240</v>
      </c>
      <c r="D7" s="98" t="s">
        <v>7</v>
      </c>
    </row>
    <row r="8" spans="1:4" x14ac:dyDescent="0.25">
      <c r="A8" s="99" t="s">
        <v>162</v>
      </c>
      <c r="B8" s="237">
        <f ca="1">B6/(PI()*B7)</f>
        <v>0.46420191735136146</v>
      </c>
      <c r="C8" s="237">
        <f ca="1">C5/C9</f>
        <v>0.46585648148148145</v>
      </c>
      <c r="D8" s="98" t="s">
        <v>10</v>
      </c>
    </row>
    <row r="9" spans="1:4" ht="15.75" thickBot="1" x14ac:dyDescent="0.3">
      <c r="A9" s="100" t="s">
        <v>13</v>
      </c>
      <c r="B9" s="239">
        <f ca="1">C5/B8</f>
        <v>51.701639099077731</v>
      </c>
      <c r="C9" s="240">
        <f ca="1">Korak_2!G17</f>
        <v>51.51801242236025</v>
      </c>
      <c r="D9" s="101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zoomScale="85" zoomScaleNormal="85" workbookViewId="0">
      <selection activeCell="L4" sqref="L4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203" t="s">
        <v>77</v>
      </c>
      <c r="K1" s="204"/>
      <c r="L1" s="204"/>
      <c r="M1" s="204"/>
      <c r="N1" s="205"/>
      <c r="O1" s="205"/>
      <c r="P1" s="205"/>
      <c r="Q1" s="205"/>
      <c r="R1" s="205"/>
      <c r="S1" s="205"/>
      <c r="T1" s="205"/>
      <c r="U1" s="205"/>
      <c r="V1" s="206" t="s">
        <v>15</v>
      </c>
      <c r="W1" s="206"/>
      <c r="X1" s="206"/>
      <c r="Y1" s="206"/>
      <c r="Z1" s="206"/>
      <c r="AA1" s="206"/>
      <c r="AB1" s="207"/>
      <c r="AC1" s="207"/>
      <c r="AD1" s="207"/>
      <c r="AE1" s="207"/>
      <c r="AF1" s="207"/>
      <c r="AG1" s="208"/>
    </row>
    <row r="2" spans="1:47" x14ac:dyDescent="0.25">
      <c r="A2" s="32" t="s">
        <v>4</v>
      </c>
      <c r="B2" s="183">
        <f>Korak_1!C4</f>
        <v>4000</v>
      </c>
      <c r="C2" s="36" t="s">
        <v>5</v>
      </c>
      <c r="J2" s="214" t="s">
        <v>20</v>
      </c>
      <c r="K2" s="216"/>
      <c r="L2" s="214" t="s">
        <v>56</v>
      </c>
      <c r="M2" s="215"/>
      <c r="N2" s="212" t="s">
        <v>59</v>
      </c>
      <c r="O2" s="213"/>
      <c r="P2" s="43"/>
      <c r="Q2" s="61"/>
      <c r="R2" s="61"/>
      <c r="S2" s="61"/>
      <c r="T2" s="61"/>
      <c r="U2" s="42"/>
      <c r="V2" s="217" t="s">
        <v>20</v>
      </c>
      <c r="W2" s="218"/>
      <c r="X2" s="219" t="s">
        <v>56</v>
      </c>
      <c r="Y2" s="218"/>
      <c r="Z2" s="219" t="s">
        <v>59</v>
      </c>
      <c r="AA2" s="218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183">
        <f>Korak_1!C5</f>
        <v>24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163</v>
      </c>
    </row>
    <row r="4" spans="1:47" ht="16.5" thickTop="1" thickBot="1" x14ac:dyDescent="0.3">
      <c r="A4" s="32" t="s">
        <v>2</v>
      </c>
      <c r="B4" s="183">
        <f ca="1">Korak_1!B6</f>
        <v>350</v>
      </c>
      <c r="C4" s="36" t="s">
        <v>14</v>
      </c>
      <c r="H4" s="45"/>
      <c r="J4" s="40">
        <v>14</v>
      </c>
      <c r="K4" s="27">
        <f>J4*T4</f>
        <v>24.5</v>
      </c>
      <c r="L4" s="27">
        <f>(N4-J4)/2</f>
        <v>52</v>
      </c>
      <c r="M4" s="27">
        <f>L4*T4</f>
        <v>91</v>
      </c>
      <c r="N4" s="27">
        <f>IF(MOD(ROUND(ABS(J4*$B$12),0)-J4,2)=0,ROUND(ABS(J4*$B$12),0),ROUND(ABS(J4*$B$12),0)+1)</f>
        <v>118</v>
      </c>
      <c r="O4" s="39">
        <f>N4*T4</f>
        <v>206.5</v>
      </c>
      <c r="P4" s="27">
        <f>$B$2/($B$3*2*PI())</f>
        <v>26.525823848649225</v>
      </c>
      <c r="Q4" s="27">
        <f>L4/J4</f>
        <v>3.7142857142857144</v>
      </c>
      <c r="R4" s="27">
        <f>MAX(95*COS($B$8*PI()/180)/J4*(($P$4*1000*$B$14)/($B$11*$B$7*$B$10^2)*(Q4+1)/Q4)^(1/3),1.85*($P$4*1000*$B$14*COS($B$8)^2/($B$11*J4^2*$B$7*$B$9))^(1/3))</f>
        <v>1.5059618845232714</v>
      </c>
      <c r="S4" s="27">
        <f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>S4/COS($B$8*PI()/180)</f>
        <v>1.75</v>
      </c>
      <c r="U4" s="53">
        <f>N4/J4+1</f>
        <v>9.4285714285714288</v>
      </c>
      <c r="V4" s="40">
        <v>14</v>
      </c>
      <c r="W4" s="30">
        <f ca="1">V4*AF4</f>
        <v>49</v>
      </c>
      <c r="X4" s="30">
        <f ca="1">(Z4-V4)/2</f>
        <v>25</v>
      </c>
      <c r="Y4" s="30">
        <f ca="1">X4*AF4</f>
        <v>87.5</v>
      </c>
      <c r="Z4" s="30">
        <f ca="1">IF(MOD(ROUND(ABS(V4*$C$12),0)-V4,2)=0,ROUND(ABS(V4*$C$12),0),ROUND(ABS(V4*$C$12),0)+1)</f>
        <v>64</v>
      </c>
      <c r="AA4" s="39">
        <f ca="1">Z4*AF4</f>
        <v>224</v>
      </c>
      <c r="AB4" s="30">
        <f ca="1">INDIRECT("U"&amp;($E$17-10))*P4</f>
        <v>249.1120848394884</v>
      </c>
      <c r="AC4" s="30">
        <f ca="1">X4/V4</f>
        <v>1.7857142857142858</v>
      </c>
      <c r="AD4" s="30">
        <f ca="1">MAX(95*COS($C$8*PI()/180)/V4*((AB4*1000*$B$14)/($C$11*$C$7*$C$10^2)*(AC4+1)/AC4)^(1/3),1.85*(AB4*1000*$B$14*COS($C$8)^2/($C$11*V4^2*$C$7*$C$9))^(1/3))</f>
        <v>3.0922246779039795</v>
      </c>
      <c r="AE4" s="30">
        <f ca="1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ca="1">AE4/COS($B$8*PI()/180)</f>
        <v>3.5</v>
      </c>
      <c r="AG4" s="31">
        <f ca="1">Z4/V4+1</f>
        <v>5.5714285714285712</v>
      </c>
      <c r="AH4" s="25">
        <f>$B$15</f>
        <v>240</v>
      </c>
      <c r="AI4" s="25" t="str">
        <f ca="1">IF($B$15-2*$B$5-2*AE4*3&gt;O4,O4,"neo1")</f>
        <v>neo1</v>
      </c>
      <c r="AJ4" s="25" t="str">
        <f ca="1">IF($B$15-2*$B$5*AE4&gt;AA4,AA4,"neo2")</f>
        <v>neo2</v>
      </c>
      <c r="AK4" s="25">
        <f>L4+2</f>
        <v>54</v>
      </c>
      <c r="AL4" s="25">
        <f>(J4+L4)*SIN(PI()/$B$11)</f>
        <v>57.157676649772945</v>
      </c>
      <c r="AM4" s="25">
        <f>IF(AK4&lt;AL4,J4,"ne")</f>
        <v>14</v>
      </c>
      <c r="AN4">
        <f ca="1">X4+2</f>
        <v>27</v>
      </c>
      <c r="AO4">
        <f ca="1">(V4+X4)*SIN(PI()/$C$11)</f>
        <v>27.577164466275352</v>
      </c>
      <c r="AP4">
        <f ca="1">IF(AN4&lt;AO4,V4,"ne")</f>
        <v>14</v>
      </c>
      <c r="AQ4">
        <f>IF(MOD((J4+N4),$B$11)=0,J4,"ne1")</f>
        <v>14</v>
      </c>
      <c r="AR4" t="str">
        <f ca="1">IF(MOD((V4+Z4),$C$11)=0,V4,"ne1")</f>
        <v>ne1</v>
      </c>
      <c r="AS4" t="str">
        <f ca="1">IF(AND(AI4=O4,AM4=J4,AQ4=J4),1,"ne")</f>
        <v>ne</v>
      </c>
      <c r="AT4" t="str">
        <f ca="1">IF(AND(AJ4=AA4,AP4=V4,AR4=V4),1,"ne")</f>
        <v>ne</v>
      </c>
      <c r="AU4">
        <f ca="1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>J5*T5</f>
        <v>22.5</v>
      </c>
      <c r="L5" s="27">
        <f>(N5-J5)/2</f>
        <v>56</v>
      </c>
      <c r="M5" s="27">
        <f>L5*T5</f>
        <v>84</v>
      </c>
      <c r="N5" s="27">
        <f>IF(MOD(ROUND(ABS(J5*$B$12),0)-J5,2)=0,ROUND(ABS(J5*$B$12),0),ROUND(ABS(J5*$B$12),0)+1)</f>
        <v>127</v>
      </c>
      <c r="O5" s="39">
        <f>N5*T5</f>
        <v>190.5</v>
      </c>
      <c r="P5" s="27">
        <f>$B$2/($B$3*2*PI())</f>
        <v>26.525823848649225</v>
      </c>
      <c r="Q5" s="27">
        <f>L5/J5</f>
        <v>3.7333333333333334</v>
      </c>
      <c r="R5" s="27">
        <f>MAX(95*COS($B$8*PI()/180)/J5*(($P$4*1000*$B$14)/($B$11*$B$7*$B$10^2)*(Q5+1)/Q5)^(1/3),1.85*($P$4*1000*$B$14*COS($B$8)^2/($B$11*J5^2*$B$7*$B$9))^(1/3))</f>
        <v>1.405057184650105</v>
      </c>
      <c r="S5" s="27">
        <f>IF(R5&lt;1,1,IF(R5&lt;1.125,1.125,IF(R5&lt;1.375,1.375,IF(R5&lt;1.5,1.5,IF(R5&lt;1.75,1.75,IF(R5&lt;2,2,IF(R5&lt;2.25,2.25,IF(R5&lt;2.5,2.5,IF(R5&lt;2.75,2.75,IF(R5&lt;3,3,IF(R5&lt;3.5,3.5,IF(R5&lt;4,4,"potrebno dodati"))))))))))))</f>
        <v>1.5</v>
      </c>
      <c r="T5" s="27">
        <f>S5/COS($B$8*PI()/180)</f>
        <v>1.5</v>
      </c>
      <c r="U5" s="53">
        <f>N5/J5+1</f>
        <v>9.4666666666666668</v>
      </c>
      <c r="V5" s="40">
        <v>15</v>
      </c>
      <c r="W5" s="30">
        <f ca="1">V5*AF5</f>
        <v>45</v>
      </c>
      <c r="X5" s="30">
        <f ca="1">(Z5-V5)/2</f>
        <v>26</v>
      </c>
      <c r="Y5" s="30">
        <f ca="1">X5*AF5</f>
        <v>78</v>
      </c>
      <c r="Z5" s="30">
        <f ca="1">IF(MOD(ROUND(ABS(V5*$C$12),0)-V5,2)=0,ROUND(ABS(V5*$C$12),0),ROUND(ABS(V5*$C$12),0)+1)</f>
        <v>67</v>
      </c>
      <c r="AA5" s="39">
        <f ca="1">Z5*AF5</f>
        <v>201</v>
      </c>
      <c r="AB5" s="30">
        <f ca="1">INDIRECT("U"&amp;($E$17-10))*P5</f>
        <v>249.1120848394884</v>
      </c>
      <c r="AC5" s="30">
        <f ca="1">X5/V5</f>
        <v>1.7333333333333334</v>
      </c>
      <c r="AD5" s="30">
        <f ca="1">MAX(95*COS($C$8*PI()/180)/V5*((AB5*1000*$B$14)/($C$11*$C$7*$C$10^2)*(AC5+1)/AC5)^(1/3),1.85*(AB5*1000*$B$14*COS($C$8)^2/($C$11*V5^2*$C$7*$C$9))^(1/3))</f>
        <v>2.8964750277826377</v>
      </c>
      <c r="AE5" s="30">
        <f ca="1">IF(AD5&lt;1,1,IF(AD5&lt;1.125,1.125,IF(AD5&lt;1.375,1.375,IF(AD5&lt;1.5,1.5,IF(AD5&lt;1.75,1.75,IF(AD5&lt;2,2,IF(AD5&lt;2.25,2.25,IF(AD5&lt;2.5,2.5,IF(AD5&lt;2.75,2.75,IF(AD5&lt;3,3,IF(AD5&lt;3.5,3.5,IF(AD5&lt;4,4,"potrebno dodati"))))))))))))</f>
        <v>3</v>
      </c>
      <c r="AF5" s="47">
        <f ca="1">AE5/COS($B$8*PI()/180)</f>
        <v>3</v>
      </c>
      <c r="AG5" s="28">
        <f ca="1">Z5/V5+1</f>
        <v>5.4666666666666668</v>
      </c>
      <c r="AH5" s="25">
        <f>$B$15</f>
        <v>240</v>
      </c>
      <c r="AI5" s="25">
        <f ca="1">IF($B$15-2*$B$5-2*AE5*3&gt;O5,O5,"neo1")</f>
        <v>190.5</v>
      </c>
      <c r="AJ5" s="25" t="str">
        <f ca="1">IF($B$15-2*$B$5*AE5&gt;AA5,AA5,"neo2")</f>
        <v>neo2</v>
      </c>
      <c r="AK5">
        <f>L5+2</f>
        <v>58</v>
      </c>
      <c r="AL5">
        <f>(J5+L5)*SIN(PI()/$B$11)</f>
        <v>61.487803668695143</v>
      </c>
      <c r="AM5">
        <f>IF(AK5&lt;AL5,J5,"ne")</f>
        <v>15</v>
      </c>
      <c r="AN5">
        <f ca="1">X5+2</f>
        <v>28</v>
      </c>
      <c r="AO5">
        <f ca="1">(V5+X5)*SIN(PI()/$C$11)</f>
        <v>28.991378028648445</v>
      </c>
      <c r="AP5">
        <f ca="1">IF(AN5&lt;AO5,V5,"ne")</f>
        <v>15</v>
      </c>
      <c r="AQ5" t="str">
        <f>IF(MOD((J5+N5),$B$11)=0,J5,"ne1")</f>
        <v>ne1</v>
      </c>
      <c r="AR5" t="str">
        <f ca="1">IF(MOD((V5+Z5),$C$11)=0,V5,"ne1")</f>
        <v>ne1</v>
      </c>
      <c r="AS5" t="str">
        <f ca="1">IF(AND(AI5=O5,AM5=J5,AQ5=J5),1,"ne")</f>
        <v>ne</v>
      </c>
      <c r="AT5" t="str">
        <f ca="1">IF(AND(AJ5=AA5,AP5=V5,AR5=V5),1,"ne")</f>
        <v>ne</v>
      </c>
      <c r="AU5">
        <f ca="1">$B$15-2*$B$5-2*AE5*3</f>
        <v>208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192"/>
      <c r="J6" s="40">
        <v>16</v>
      </c>
      <c r="K6" s="27">
        <f>J6*T6</f>
        <v>22</v>
      </c>
      <c r="L6" s="27">
        <f>(N6-J6)/2</f>
        <v>60</v>
      </c>
      <c r="M6" s="27">
        <f>L6*T6</f>
        <v>82.5</v>
      </c>
      <c r="N6" s="27">
        <f>IF(MOD(ROUND(ABS(J6*$B$12),0)-J6,2)=0,ROUND(ABS(J6*$B$12),0),ROUND(ABS(J6*$B$12),0)+1)</f>
        <v>136</v>
      </c>
      <c r="O6" s="39">
        <f>N6*T6</f>
        <v>187</v>
      </c>
      <c r="P6" s="27">
        <f>$B$2/($B$3*2*PI())</f>
        <v>26.525823848649225</v>
      </c>
      <c r="Q6" s="27">
        <f>L6/J6</f>
        <v>3.75</v>
      </c>
      <c r="R6" s="27">
        <f>MAX(95*COS($B$8*PI()/180)/J6*(($P$4*1000*$B$14)/($B$11*$B$7*$B$10^2)*(Q6+1)/Q6)^(1/3),1.85*($P$4*1000*$B$14*COS($B$8)^2/($B$11*J6^2*$B$7*$B$9))^(1/3))</f>
        <v>1.3168286994646072</v>
      </c>
      <c r="S6" s="27">
        <f>IF(R6&lt;1,1,IF(R6&lt;1.125,1.125,IF(R6&lt;1.375,1.375,IF(R6&lt;1.5,1.5,IF(R6&lt;1.75,1.75,IF(R6&lt;2,2,IF(R6&lt;2.25,2.25,IF(R6&lt;2.5,2.5,IF(R6&lt;2.75,2.75,IF(R6&lt;3,3,IF(R6&lt;3.5,3.5,IF(R6&lt;4,4,"potrebno dodati"))))))))))))</f>
        <v>1.375</v>
      </c>
      <c r="T6" s="27">
        <f>S6/COS($B$8*PI()/180)</f>
        <v>1.375</v>
      </c>
      <c r="U6" s="53">
        <f>N6/J6+1</f>
        <v>9.5</v>
      </c>
      <c r="V6" s="40">
        <v>16</v>
      </c>
      <c r="W6" s="30">
        <f ca="1">V6*AF6</f>
        <v>44</v>
      </c>
      <c r="X6" s="30">
        <f ca="1">(Z6-V6)/2</f>
        <v>28</v>
      </c>
      <c r="Y6" s="30">
        <f ca="1">X6*AF6</f>
        <v>77</v>
      </c>
      <c r="Z6" s="30">
        <f ca="1">IF(MOD(ROUND(ABS(V6*$C$12),0)-V6,2)=0,ROUND(ABS(V6*$C$12),0),ROUND(ABS(V6*$C$12),0)+1)</f>
        <v>72</v>
      </c>
      <c r="AA6" s="39">
        <f ca="1">Z6*AF6</f>
        <v>198</v>
      </c>
      <c r="AB6" s="30">
        <f ca="1">INDIRECT("U"&amp;($E$17-10))*P6</f>
        <v>249.1120848394884</v>
      </c>
      <c r="AC6" s="30">
        <f ca="1">X6/V6</f>
        <v>1.75</v>
      </c>
      <c r="AD6" s="30">
        <f ca="1">MAX(95*COS($C$8*PI()/180)/V6*((AB6*1000*$B$14)/($C$11*$C$7*$C$10^2)*(AC6+1)/AC6)^(1/3),1.85*(AB6*1000*$B$14*COS($C$8)^2/($C$11*V6^2*$C$7*$C$9))^(1/3))</f>
        <v>2.7122878411187292</v>
      </c>
      <c r="AE6" s="30">
        <f ca="1">IF(AD6&lt;1,1,IF(AD6&lt;1.125,1.125,IF(AD6&lt;1.375,1.375,IF(AD6&lt;1.5,1.5,IF(AD6&lt;1.75,1.75,IF(AD6&lt;2,2,IF(AD6&lt;2.25,2.25,IF(AD6&lt;2.5,2.5,IF(AD6&lt;2.75,2.75,IF(AD6&lt;3,3,IF(AD6&lt;3.5,3.5,IF(AD6&lt;4,4,"potrebno dodati"))))))))))))</f>
        <v>2.75</v>
      </c>
      <c r="AF6" s="47">
        <f ca="1">AE6/COS($B$8*PI()/180)</f>
        <v>2.75</v>
      </c>
      <c r="AG6" s="28">
        <f ca="1">Z6/V6+1</f>
        <v>5.5</v>
      </c>
      <c r="AH6" s="25">
        <f>$B$15</f>
        <v>240</v>
      </c>
      <c r="AI6" s="25">
        <f ca="1">IF($B$15-2*$B$5-2*AE6*3&gt;O6,O6,"neo1")</f>
        <v>187</v>
      </c>
      <c r="AJ6" s="25">
        <f ca="1">IF($B$15-2*$B$5*AE6&gt;AA6,AA6,"neo2")</f>
        <v>198</v>
      </c>
      <c r="AK6">
        <f>L6+2</f>
        <v>62</v>
      </c>
      <c r="AL6">
        <f>(J6+L6)*SIN(PI()/$B$11)</f>
        <v>65.817930687617334</v>
      </c>
      <c r="AM6">
        <f>IF(AK6&lt;AL6,J6,"ne")</f>
        <v>16</v>
      </c>
      <c r="AN6">
        <f ca="1">X6+2</f>
        <v>30</v>
      </c>
      <c r="AO6">
        <f ca="1">(V6+X6)*SIN(PI()/$C$11)</f>
        <v>31.112698372208087</v>
      </c>
      <c r="AP6">
        <f ca="1">IF(AN6&lt;AO6,V6,"ne")</f>
        <v>16</v>
      </c>
      <c r="AQ6" t="str">
        <f>IF(MOD((J6+N6),$B$11)=0,J6,"ne1")</f>
        <v>ne1</v>
      </c>
      <c r="AR6">
        <f ca="1">IF(MOD((V6+Z6),$C$11)=0,V6,"ne1")</f>
        <v>16</v>
      </c>
      <c r="AS6" t="str">
        <f ca="1">IF(AND(AI6=O6,AM6=J6,AQ6=J6),1,"ne")</f>
        <v>ne</v>
      </c>
      <c r="AT6">
        <f ca="1">IF(AND(AJ6=AA6,AP6=V6,AR6=V6),1,"ne")</f>
        <v>1</v>
      </c>
      <c r="AU6">
        <f ca="1">$B$15-2*$B$5-2*AE6*3</f>
        <v>209.5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>J7*T7</f>
        <v>23.375</v>
      </c>
      <c r="L7" s="27">
        <f>(N7-J7)/2</f>
        <v>63</v>
      </c>
      <c r="M7" s="27">
        <f>L7*T7</f>
        <v>86.625</v>
      </c>
      <c r="N7" s="27">
        <f>IF(MOD(ROUND(ABS(J7*$B$12),0)-J7,2)=0,ROUND(ABS(J7*$B$12),0),ROUND(ABS(J7*$B$12),0)+1)</f>
        <v>143</v>
      </c>
      <c r="O7" s="39">
        <f>N7*T7</f>
        <v>196.625</v>
      </c>
      <c r="P7" s="27">
        <f>$B$2/($B$3*2*PI())</f>
        <v>26.525823848649225</v>
      </c>
      <c r="Q7" s="27">
        <f>L7/J7</f>
        <v>3.7058823529411766</v>
      </c>
      <c r="R7" s="27">
        <f>MAX(95*COS($B$8*PI()/180)/J7*(($P$4*1000*$B$14)/($B$11*$B$7*$B$10^2)*(Q7+1)/Q7)^(1/3),1.85*($P$4*1000*$B$14*COS($B$8)^2/($B$11*J7^2*$B$7*$B$9))^(1/3))</f>
        <v>1.2404027192532565</v>
      </c>
      <c r="S7" s="27">
        <f>IF(R7&lt;1,1,IF(R7&lt;1.125,1.125,IF(R7&lt;1.375,1.375,IF(R7&lt;1.5,1.5,IF(R7&lt;1.75,1.75,IF(R7&lt;2,2,IF(R7&lt;2.25,2.25,IF(R7&lt;2.5,2.5,IF(R7&lt;2.75,2.75,IF(R7&lt;3,3,IF(R7&lt;3.5,3.5,IF(R7&lt;4,4,"potrebno dodati"))))))))))))</f>
        <v>1.375</v>
      </c>
      <c r="T7" s="27">
        <f>S7/COS($B$8*PI()/180)</f>
        <v>1.375</v>
      </c>
      <c r="U7" s="53">
        <f>N7/J7+1</f>
        <v>9.4117647058823533</v>
      </c>
      <c r="V7" s="40">
        <v>17</v>
      </c>
      <c r="W7" s="30">
        <f ca="1">V7*AF7</f>
        <v>46.75</v>
      </c>
      <c r="X7" s="30">
        <f ca="1">(Z7-V7)/2</f>
        <v>30</v>
      </c>
      <c r="Y7" s="30">
        <f ca="1">X7*AF7</f>
        <v>82.5</v>
      </c>
      <c r="Z7" s="30">
        <f ca="1">IF(MOD(ROUND(ABS(V7*$C$12),0)-V7,2)=0,ROUND(ABS(V7*$C$12),0),ROUND(ABS(V7*$C$12),0)+1)</f>
        <v>77</v>
      </c>
      <c r="AA7" s="39">
        <f ca="1">Z7*AF7</f>
        <v>211.75</v>
      </c>
      <c r="AB7" s="30">
        <f ca="1">INDIRECT("U"&amp;($E$17-10))*P7</f>
        <v>249.1120848394884</v>
      </c>
      <c r="AC7" s="30">
        <f ca="1">X7/V7</f>
        <v>1.7647058823529411</v>
      </c>
      <c r="AD7" s="30">
        <f ca="1">MAX(95*COS($C$8*PI()/180)/V7*((AB7*1000*$B$14)/($C$11*$C$7*$C$10^2)*(AC7+1)/AC7)^(1/3),1.85*(AB7*1000*$B$14*COS($C$8)^2/($C$11*V7^2*$C$7*$C$9))^(1/3))</f>
        <v>2.5501603617921642</v>
      </c>
      <c r="AE7" s="30">
        <f ca="1">IF(AD7&lt;1,1,IF(AD7&lt;1.125,1.125,IF(AD7&lt;1.375,1.375,IF(AD7&lt;1.5,1.5,IF(AD7&lt;1.75,1.75,IF(AD7&lt;2,2,IF(AD7&lt;2.25,2.25,IF(AD7&lt;2.5,2.5,IF(AD7&lt;2.75,2.75,IF(AD7&lt;3,3,IF(AD7&lt;3.5,3.5,IF(AD7&lt;4,4,"potrebno dodati"))))))))))))</f>
        <v>2.75</v>
      </c>
      <c r="AF7" s="47">
        <f ca="1">AE7/COS($B$8*PI()/180)</f>
        <v>2.75</v>
      </c>
      <c r="AG7" s="28">
        <f ca="1">Z7/V7+1</f>
        <v>5.5294117647058822</v>
      </c>
      <c r="AH7" s="25">
        <f>$B$15</f>
        <v>240</v>
      </c>
      <c r="AI7" s="25">
        <f ca="1">IF($B$15-2*$B$5-2*AE7*3&gt;O7,O7,"neo1")</f>
        <v>196.625</v>
      </c>
      <c r="AJ7" s="25" t="str">
        <f ca="1">IF($B$15-2*$B$5*AE7&gt;AA7,AA7,"neo2")</f>
        <v>neo2</v>
      </c>
      <c r="AK7">
        <f>L7+2</f>
        <v>65</v>
      </c>
      <c r="AL7">
        <f>(J7+L7)*SIN(PI()/$B$11)</f>
        <v>69.282032302755084</v>
      </c>
      <c r="AM7">
        <f>IF(AK7&lt;AL7,J7,"ne")</f>
        <v>17</v>
      </c>
      <c r="AN7">
        <f ca="1">X7+2</f>
        <v>32</v>
      </c>
      <c r="AO7">
        <f ca="1">(V7+X7)*SIN(PI()/$C$11)</f>
        <v>33.234018715767732</v>
      </c>
      <c r="AP7">
        <f ca="1">IF(AN7&lt;AO7,V7,"ne")</f>
        <v>17</v>
      </c>
      <c r="AQ7" t="str">
        <f>IF(MOD((J7+N7),$B$11)=0,J7,"ne1")</f>
        <v>ne1</v>
      </c>
      <c r="AR7" t="str">
        <f ca="1">IF(MOD((V7+Z7),$C$11)=0,V7,"ne1")</f>
        <v>ne1</v>
      </c>
      <c r="AS7" t="str">
        <f ca="1">IF(AND(AI7=O7,AM7=J7,AQ7=J7),1,"ne")</f>
        <v>ne</v>
      </c>
      <c r="AT7" t="str">
        <f ca="1">IF(AND(AJ7=AA7,AP7=V7,AR7=V7),1,"ne")</f>
        <v>ne</v>
      </c>
      <c r="AU7">
        <f ca="1">$B$15-2*$B$5-2*AE7*3</f>
        <v>209.5</v>
      </c>
    </row>
    <row r="8" spans="1:47" x14ac:dyDescent="0.25">
      <c r="A8" s="32" t="s">
        <v>45</v>
      </c>
      <c r="B8" s="195">
        <v>0</v>
      </c>
      <c r="C8" s="195">
        <v>0</v>
      </c>
      <c r="D8" s="184" t="s">
        <v>54</v>
      </c>
      <c r="J8" s="40">
        <v>18</v>
      </c>
      <c r="K8" s="27">
        <f>J8*T8</f>
        <v>24.75</v>
      </c>
      <c r="L8" s="27">
        <f>(N8-J8)/2</f>
        <v>67</v>
      </c>
      <c r="M8" s="27">
        <f>L8*T8</f>
        <v>92.125</v>
      </c>
      <c r="N8" s="27">
        <f>IF(MOD(ROUND(ABS(J8*$B$12),0)-J8,2)=0,ROUND(ABS(J8*$B$12),0),ROUND(ABS(J8*$B$12),0)+1)</f>
        <v>152</v>
      </c>
      <c r="O8" s="39">
        <f>N8*T8</f>
        <v>209</v>
      </c>
      <c r="P8" s="27">
        <f>$B$2/($B$3*2*PI())</f>
        <v>26.525823848649225</v>
      </c>
      <c r="Q8" s="27">
        <f>L8/J8</f>
        <v>3.7222222222222223</v>
      </c>
      <c r="R8" s="27">
        <f>MAX(95*COS($B$8*PI()/180)/J8*(($P$4*1000*$B$14)/($B$11*$B$7*$B$10^2)*(Q8+1)/Q8)^(1/3),1.85*($P$4*1000*$B$14*COS($B$8)^2/($B$11*J8^2*$B$7*$B$9))^(1/3))</f>
        <v>1.1711270740141555</v>
      </c>
      <c r="S8" s="27">
        <f>IF(R8&lt;1,1,IF(R8&lt;1.125,1.125,IF(R8&lt;1.375,1.375,IF(R8&lt;1.5,1.5,IF(R8&lt;1.75,1.75,IF(R8&lt;2,2,IF(R8&lt;2.25,2.25,IF(R8&lt;2.5,2.5,IF(R8&lt;2.75,2.75,IF(R8&lt;3,3,IF(R8&lt;3.5,3.5,IF(R8&lt;4,4,"potrebno dodati"))))))))))))</f>
        <v>1.375</v>
      </c>
      <c r="T8" s="27">
        <f>S8/COS($B$8*PI()/180)</f>
        <v>1.375</v>
      </c>
      <c r="U8" s="53">
        <f>N8/J8+1</f>
        <v>9.4444444444444446</v>
      </c>
      <c r="V8" s="40">
        <v>18</v>
      </c>
      <c r="W8" s="30">
        <f ca="1">V8*AF8</f>
        <v>45</v>
      </c>
      <c r="X8" s="30">
        <f ca="1">(Z8-V8)/2</f>
        <v>32</v>
      </c>
      <c r="Y8" s="30">
        <f ca="1">X8*AF8</f>
        <v>80</v>
      </c>
      <c r="Z8" s="30">
        <f ca="1">IF(MOD(ROUND(ABS(V8*$C$12),0)-V8,2)=0,ROUND(ABS(V8*$C$12),0),ROUND(ABS(V8*$C$12),0)+1)</f>
        <v>82</v>
      </c>
      <c r="AA8" s="39">
        <f ca="1">Z8*AF8</f>
        <v>205</v>
      </c>
      <c r="AB8" s="30">
        <f ca="1">INDIRECT("U"&amp;($E$17-10))*P8</f>
        <v>249.1120848394884</v>
      </c>
      <c r="AC8" s="30">
        <f ca="1">X8/V8</f>
        <v>1.7777777777777777</v>
      </c>
      <c r="AD8" s="30">
        <f ca="1">MAX(95*COS($C$8*PI()/180)/V8*((AB8*1000*$B$14)/($C$11*$C$7*$C$10^2)*(AC8+1)/AC8)^(1/3),1.85*(AB8*1000*$B$14*COS($C$8)^2/($C$11*V8^2*$C$7*$C$9))^(1/3))</f>
        <v>2.406347708895813</v>
      </c>
      <c r="AE8" s="30">
        <f ca="1">IF(AD8&lt;1,1,IF(AD8&lt;1.125,1.125,IF(AD8&lt;1.375,1.375,IF(AD8&lt;1.5,1.5,IF(AD8&lt;1.75,1.75,IF(AD8&lt;2,2,IF(AD8&lt;2.25,2.25,IF(AD8&lt;2.5,2.5,IF(AD8&lt;2.75,2.75,IF(AD8&lt;3,3,IF(AD8&lt;3.5,3.5,IF(AD8&lt;4,4,"potrebno dodati"))))))))))))</f>
        <v>2.5</v>
      </c>
      <c r="AF8" s="47">
        <f ca="1">AE8/COS($B$8*PI()/180)</f>
        <v>2.5</v>
      </c>
      <c r="AG8" s="28">
        <f ca="1">Z8/V8+1</f>
        <v>5.5555555555555554</v>
      </c>
      <c r="AH8" s="25">
        <f>$B$15</f>
        <v>240</v>
      </c>
      <c r="AI8" s="25">
        <f ca="1">IF($B$15-2*$B$5-2*AE8*3&gt;O8,O8,"neo1")</f>
        <v>209</v>
      </c>
      <c r="AJ8" s="25" t="str">
        <f ca="1">IF($B$15-2*$B$5*AE8&gt;AA8,AA8,"neo2")</f>
        <v>neo2</v>
      </c>
      <c r="AK8">
        <f>L8+2</f>
        <v>69</v>
      </c>
      <c r="AL8">
        <f>(J8+L8)*SIN(PI()/$B$11)</f>
        <v>73.612159321677282</v>
      </c>
      <c r="AM8">
        <f>IF(AK8&lt;AL8,J8,"ne")</f>
        <v>18</v>
      </c>
      <c r="AN8">
        <f ca="1">X8+2</f>
        <v>34</v>
      </c>
      <c r="AO8">
        <f ca="1">(V8+X8)*SIN(PI()/$C$11)</f>
        <v>35.35533905932737</v>
      </c>
      <c r="AP8">
        <f ca="1">IF(AN8&lt;AO8,V8,"ne")</f>
        <v>18</v>
      </c>
      <c r="AQ8" t="str">
        <f>IF(MOD((J8+N8),$B$11)=0,J8,"ne1")</f>
        <v>ne1</v>
      </c>
      <c r="AR8">
        <f ca="1">IF(MOD((V8+Z8),$C$11)=0,V8,"ne1")</f>
        <v>18</v>
      </c>
      <c r="AS8" t="str">
        <f ca="1">IF(AND(AI8=O8,AM8=J8,AQ8=J8),1,"ne")</f>
        <v>ne</v>
      </c>
      <c r="AT8" t="str">
        <f ca="1">IF(AND(AJ8=AA8,AP8=V8,AR8=V8),1,"ne")</f>
        <v>ne</v>
      </c>
      <c r="AU8">
        <f ca="1">$B$15-2*$B$5-2*AE8*3</f>
        <v>211</v>
      </c>
    </row>
    <row r="9" spans="1:47" ht="15.75" x14ac:dyDescent="0.25">
      <c r="A9" s="37" t="s">
        <v>46</v>
      </c>
      <c r="B9" s="20">
        <v>360</v>
      </c>
      <c r="C9" s="20">
        <v>360</v>
      </c>
      <c r="D9" s="185" t="s">
        <v>53</v>
      </c>
      <c r="E9">
        <v>941</v>
      </c>
      <c r="J9" s="40">
        <v>19</v>
      </c>
      <c r="K9" s="27">
        <f>J9*T9</f>
        <v>21.375</v>
      </c>
      <c r="L9" s="27">
        <f>(N9-J9)/2</f>
        <v>71</v>
      </c>
      <c r="M9" s="27">
        <f>L9*T9</f>
        <v>79.875</v>
      </c>
      <c r="N9" s="27">
        <f>IF(MOD(ROUND(ABS(J9*$B$12),0)-J9,2)=0,ROUND(ABS(J9*$B$12),0),ROUND(ABS(J9*$B$12),0)+1)</f>
        <v>161</v>
      </c>
      <c r="O9" s="39">
        <f>N9*T9</f>
        <v>181.125</v>
      </c>
      <c r="P9" s="27">
        <f>$B$2/($B$3*2*PI())</f>
        <v>26.525823848649225</v>
      </c>
      <c r="Q9" s="27">
        <f>L9/J9</f>
        <v>3.736842105263158</v>
      </c>
      <c r="R9" s="27">
        <f>MAX(95*COS($B$8*PI()/180)/J9*(($P$4*1000*$B$14)/($B$11*$B$7*$B$10^2)*(Q9+1)/Q9)^(1/3),1.85*($P$4*1000*$B$14*COS($B$8)^2/($B$11*J9^2*$B$7*$B$9))^(1/3))</f>
        <v>1.1091823183244771</v>
      </c>
      <c r="S9" s="27">
        <f>IF(R9&lt;1,1,IF(R9&lt;1.125,1.125,IF(R9&lt;1.375,1.375,IF(R9&lt;1.5,1.5,IF(R9&lt;1.75,1.75,IF(R9&lt;2,2,IF(R9&lt;2.25,2.25,IF(R9&lt;2.5,2.5,IF(R9&lt;2.75,2.75,IF(R9&lt;3,3,IF(R9&lt;3.5,3.5,IF(R9&lt;4,4,"potrebno dodati"))))))))))))</f>
        <v>1.125</v>
      </c>
      <c r="T9" s="27">
        <f>S9/COS($B$8*PI()/180)</f>
        <v>1.125</v>
      </c>
      <c r="U9" s="53">
        <f>N9/J9+1</f>
        <v>9.473684210526315</v>
      </c>
      <c r="V9" s="40">
        <v>19</v>
      </c>
      <c r="W9" s="30">
        <f ca="1">V9*AF9</f>
        <v>47.5</v>
      </c>
      <c r="X9" s="30">
        <f ca="1">(Z9-V9)/2</f>
        <v>33</v>
      </c>
      <c r="Y9" s="30">
        <f ca="1">X9*AF9</f>
        <v>82.5</v>
      </c>
      <c r="Z9" s="30">
        <f ca="1">IF(MOD(ROUND(ABS(V9*$C$12),0)-V9,2)=0,ROUND(ABS(V9*$C$12),0),ROUND(ABS(V9*$C$12),0)+1)</f>
        <v>85</v>
      </c>
      <c r="AA9" s="39">
        <f ca="1">Z9*AF9</f>
        <v>212.5</v>
      </c>
      <c r="AB9" s="30">
        <f ca="1">INDIRECT("U"&amp;($E$17-10))*P9</f>
        <v>249.1120848394884</v>
      </c>
      <c r="AC9" s="30">
        <f ca="1">X9/V9</f>
        <v>1.736842105263158</v>
      </c>
      <c r="AD9" s="30">
        <f ca="1">MAX(95*COS($C$8*PI()/180)/V9*((AB9*1000*$B$14)/($C$11*$C$7*$C$10^2)*(AC9+1)/AC9)^(1/3),1.85*(AB9*1000*$B$14*COS($C$8)^2/($C$11*V9^2*$C$7*$C$9))^(1/3))</f>
        <v>2.2861273094595895</v>
      </c>
      <c r="AE9" s="30">
        <f ca="1">IF(AD9&lt;1,1,IF(AD9&lt;1.125,1.125,IF(AD9&lt;1.375,1.375,IF(AD9&lt;1.5,1.5,IF(AD9&lt;1.75,1.75,IF(AD9&lt;2,2,IF(AD9&lt;2.25,2.25,IF(AD9&lt;2.5,2.5,IF(AD9&lt;2.75,2.75,IF(AD9&lt;3,3,IF(AD9&lt;3.5,3.5,IF(AD9&lt;4,4,"potrebno dodati"))))))))))))</f>
        <v>2.5</v>
      </c>
      <c r="AF9" s="47">
        <f ca="1">AE9/COS($B$8*PI()/180)</f>
        <v>2.5</v>
      </c>
      <c r="AG9" s="28">
        <f ca="1">Z9/V9+1</f>
        <v>5.4736842105263159</v>
      </c>
      <c r="AH9" s="25">
        <f>$B$15</f>
        <v>240</v>
      </c>
      <c r="AI9" s="25">
        <f ca="1">IF($B$15-2*$B$5-2*AE9*3&gt;O9,O9,"neo1")</f>
        <v>181.125</v>
      </c>
      <c r="AJ9" s="25" t="str">
        <f ca="1">IF($B$15-2*$B$5*AE9&gt;AA9,AA9,"neo2")</f>
        <v>neo2</v>
      </c>
      <c r="AK9">
        <f>L9+2</f>
        <v>73</v>
      </c>
      <c r="AL9">
        <f>(J9+L9)*SIN(PI()/$B$11)</f>
        <v>77.94228634059948</v>
      </c>
      <c r="AM9">
        <f>IF(AK9&lt;AL9,J9,"ne")</f>
        <v>19</v>
      </c>
      <c r="AN9">
        <f ca="1">X9+2</f>
        <v>35</v>
      </c>
      <c r="AO9">
        <f ca="1">(V9+X9)*SIN(PI()/$C$11)</f>
        <v>36.76955262170047</v>
      </c>
      <c r="AP9">
        <f ca="1">IF(AN9&lt;AO9,V9,"ne")</f>
        <v>19</v>
      </c>
      <c r="AQ9">
        <f>IF(MOD((J9+N9),$B$11)=0,J9,"ne1")</f>
        <v>19</v>
      </c>
      <c r="AR9">
        <f ca="1">IF(MOD((V9+Z9),$C$11)=0,V9,"ne1")</f>
        <v>19</v>
      </c>
      <c r="AS9">
        <f ca="1">IF(AND(AI9=O9,AM9=J9,AQ9=J9),1,"ne")</f>
        <v>1</v>
      </c>
      <c r="AT9" t="str">
        <f ca="1">IF(AND(AJ9=AA9,AP9=V9,AR9=V9),1,"ne")</f>
        <v>ne</v>
      </c>
      <c r="AU9">
        <f ca="1">$B$15-2*$B$5-2*AE9*3</f>
        <v>211</v>
      </c>
    </row>
    <row r="10" spans="1:47" ht="16.5" thickBot="1" x14ac:dyDescent="0.3">
      <c r="A10" s="37" t="s">
        <v>47</v>
      </c>
      <c r="B10" s="20">
        <v>1170</v>
      </c>
      <c r="C10" s="20">
        <v>1170</v>
      </c>
      <c r="D10" s="186" t="s">
        <v>53</v>
      </c>
      <c r="J10" s="40">
        <v>20</v>
      </c>
      <c r="K10" s="27">
        <f>J10*T10</f>
        <v>22.5</v>
      </c>
      <c r="L10" s="27">
        <f>(N10-J10)/2</f>
        <v>74</v>
      </c>
      <c r="M10" s="27">
        <f>L10*T10</f>
        <v>83.25</v>
      </c>
      <c r="N10" s="27">
        <f>IF(MOD(ROUND(ABS(J10*$B$12),0)-J10,2)=0,ROUND(ABS(J10*$B$12),0),ROUND(ABS(J10*$B$12),0)+1)</f>
        <v>168</v>
      </c>
      <c r="O10" s="39">
        <f>N10*T10</f>
        <v>189</v>
      </c>
      <c r="P10" s="27">
        <f>$B$2/($B$3*2*PI())</f>
        <v>26.525823848649225</v>
      </c>
      <c r="Q10" s="27">
        <f>L10/J10</f>
        <v>3.7</v>
      </c>
      <c r="R10" s="27">
        <f>MAX(95*COS($B$8*PI()/180)/J10*(($P$4*1000*$B$14)/($B$11*$B$7*$B$10^2)*(Q10+1)/Q10)^(1/3),1.85*($P$4*1000*$B$14*COS($B$8)^2/($B$11*J10^2*$B$7*$B$9))^(1/3))</f>
        <v>1.0544610302393</v>
      </c>
      <c r="S10" s="27">
        <f>IF(R10&lt;1,1,IF(R10&lt;1.125,1.125,IF(R10&lt;1.375,1.375,IF(R10&lt;1.5,1.5,IF(R10&lt;1.75,1.75,IF(R10&lt;2,2,IF(R10&lt;2.25,2.25,IF(R10&lt;2.5,2.5,IF(R10&lt;2.75,2.75,IF(R10&lt;3,3,IF(R10&lt;3.5,3.5,IF(R10&lt;4,4,"potrebno dodati"))))))))))))</f>
        <v>1.125</v>
      </c>
      <c r="T10" s="27">
        <f>S10/COS($B$8*PI()/180)</f>
        <v>1.125</v>
      </c>
      <c r="U10" s="53">
        <f>N10/J10+1</f>
        <v>9.4</v>
      </c>
      <c r="V10" s="40">
        <v>20</v>
      </c>
      <c r="W10" s="30">
        <f ca="1">V10*AF10</f>
        <v>45</v>
      </c>
      <c r="X10" s="30">
        <f ca="1">(Z10-V10)/2</f>
        <v>35</v>
      </c>
      <c r="Y10" s="30">
        <f ca="1">X10*AF10</f>
        <v>78.75</v>
      </c>
      <c r="Z10" s="30">
        <f ca="1">IF(MOD(ROUND(ABS(V10*$C$12),0)-V10,2)=0,ROUND(ABS(V10*$C$12),0),ROUND(ABS(V10*$C$12),0)+1)</f>
        <v>90</v>
      </c>
      <c r="AA10" s="39">
        <f ca="1">Z10*AF10</f>
        <v>202.5</v>
      </c>
      <c r="AB10" s="30">
        <f ca="1">INDIRECT("U"&amp;($E$17-10))*P10</f>
        <v>249.1120848394884</v>
      </c>
      <c r="AC10" s="30">
        <f ca="1">X10/V10</f>
        <v>1.75</v>
      </c>
      <c r="AD10" s="30">
        <f ca="1">MAX(95*COS($C$8*PI()/180)/V10*((AB10*1000*$B$14)/($C$11*$C$7*$C$10^2)*(AC10+1)/AC10)^(1/3),1.85*(AB10*1000*$B$14*COS($C$8)^2/($C$11*V10^2*$C$7*$C$9))^(1/3))</f>
        <v>2.1698302728949832</v>
      </c>
      <c r="AE10" s="30">
        <f ca="1">IF(AD10&lt;1,1,IF(AD10&lt;1.125,1.125,IF(AD10&lt;1.375,1.375,IF(AD10&lt;1.5,1.5,IF(AD10&lt;1.75,1.75,IF(AD10&lt;2,2,IF(AD10&lt;2.25,2.25,IF(AD10&lt;2.5,2.5,IF(AD10&lt;2.75,2.75,IF(AD10&lt;3,3,IF(AD10&lt;3.5,3.5,IF(AD10&lt;4,4,"potrebno dodati"))))))))))))</f>
        <v>2.25</v>
      </c>
      <c r="AF10" s="47">
        <f ca="1">AE10/COS($B$8*PI()/180)</f>
        <v>2.25</v>
      </c>
      <c r="AG10" s="28">
        <f ca="1">Z10/V10+1</f>
        <v>5.5</v>
      </c>
      <c r="AH10" s="25">
        <f>$B$15</f>
        <v>240</v>
      </c>
      <c r="AI10" s="25">
        <f ca="1">IF($B$15-2*$B$5-2*AE10*3&gt;O10,O10,"neo1")</f>
        <v>189</v>
      </c>
      <c r="AJ10" s="25">
        <f ca="1">IF($B$15-2*$B$5*AE10&gt;AA10,AA10,"neo2")</f>
        <v>202.5</v>
      </c>
      <c r="AK10">
        <f>L10+2</f>
        <v>76</v>
      </c>
      <c r="AL10">
        <f>(J10+L10)*SIN(PI()/$B$11)</f>
        <v>81.40638795573723</v>
      </c>
      <c r="AM10">
        <f>IF(AK10&lt;AL10,J10,"ne")</f>
        <v>20</v>
      </c>
      <c r="AN10">
        <f ca="1">X10+2</f>
        <v>37</v>
      </c>
      <c r="AO10">
        <f ca="1">(V10+X10)*SIN(PI()/$C$11)</f>
        <v>38.890872965260108</v>
      </c>
      <c r="AP10">
        <f ca="1">IF(AN10&lt;AO10,V10,"ne")</f>
        <v>20</v>
      </c>
      <c r="AQ10" t="str">
        <f>IF(MOD((J10+N10),$B$11)=0,J10,"ne1")</f>
        <v>ne1</v>
      </c>
      <c r="AR10" t="str">
        <f ca="1">IF(MOD((V10+Z10),$C$11)=0,V10,"ne1")</f>
        <v>ne1</v>
      </c>
      <c r="AS10" t="str">
        <f ca="1">IF(AND(AI10=O10,AM10=J10,AQ10=J10),1,"ne")</f>
        <v>ne</v>
      </c>
      <c r="AT10" t="str">
        <f ca="1">IF(AND(AJ10=AA10,AP10=V10,AR10=V10),1,"ne")</f>
        <v>ne</v>
      </c>
      <c r="AU10">
        <f ca="1">$B$15-2*$B$5-2*AE10*3</f>
        <v>212.5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>J11*T11</f>
        <v>23.625</v>
      </c>
      <c r="L11" s="27">
        <f>(N11-J11)/2</f>
        <v>78</v>
      </c>
      <c r="M11" s="27">
        <f>L11*T11</f>
        <v>87.75</v>
      </c>
      <c r="N11" s="27">
        <f>IF(MOD(ROUND(ABS(J11*$B$12),0)-J11,2)=0,ROUND(ABS(J11*$B$12),0),ROUND(ABS(J11*$B$12),0)+1)</f>
        <v>177</v>
      </c>
      <c r="O11" s="39">
        <f>N11*T11</f>
        <v>199.125</v>
      </c>
      <c r="P11" s="27">
        <f>$B$2/($B$3*2*PI())</f>
        <v>26.525823848649225</v>
      </c>
      <c r="Q11" s="27">
        <f>L11/J11</f>
        <v>3.7142857142857144</v>
      </c>
      <c r="R11" s="27">
        <f>MAX(95*COS($B$8*PI()/180)/J11*(($P$4*1000*$B$14)/($B$11*$B$7*$B$10^2)*(Q11+1)/Q11)^(1/3),1.85*($P$4*1000*$B$14*COS($B$8)^2/($B$11*J11^2*$B$7*$B$9))^(1/3))</f>
        <v>1.003974589682181</v>
      </c>
      <c r="S11" s="27">
        <f>IF(R11&lt;1,1,IF(R11&lt;1.125,1.125,IF(R11&lt;1.375,1.375,IF(R11&lt;1.5,1.5,IF(R11&lt;1.75,1.75,IF(R11&lt;2,2,IF(R11&lt;2.25,2.25,IF(R11&lt;2.5,2.5,IF(R11&lt;2.75,2.75,IF(R11&lt;3,3,IF(R11&lt;3.5,3.5,IF(R11&lt;4,4,"potrebno dodati"))))))))))))</f>
        <v>1.125</v>
      </c>
      <c r="T11" s="27">
        <f>S11/COS($B$8*PI()/180)</f>
        <v>1.125</v>
      </c>
      <c r="U11" s="53">
        <f>N11/J11+1</f>
        <v>9.4285714285714288</v>
      </c>
      <c r="V11" s="40">
        <v>21</v>
      </c>
      <c r="W11" s="30">
        <f ca="1">V11*AF11</f>
        <v>47.25</v>
      </c>
      <c r="X11" s="30">
        <f ca="1">(Z11-V11)/2</f>
        <v>37</v>
      </c>
      <c r="Y11" s="30">
        <f ca="1">X11*AF11</f>
        <v>83.25</v>
      </c>
      <c r="Z11" s="30">
        <f ca="1">IF(MOD(ROUND(ABS(V11*$C$12),0)-V11,2)=0,ROUND(ABS(V11*$C$12),0),ROUND(ABS(V11*$C$12),0)+1)</f>
        <v>95</v>
      </c>
      <c r="AA11" s="39">
        <f ca="1">Z11*AF11</f>
        <v>213.75</v>
      </c>
      <c r="AB11" s="30">
        <f ca="1">INDIRECT("U"&amp;($E$17-10))*P11</f>
        <v>249.1120848394884</v>
      </c>
      <c r="AC11" s="30">
        <f ca="1">X11/V11</f>
        <v>1.7619047619047619</v>
      </c>
      <c r="AD11" s="30">
        <f ca="1">MAX(95*COS($C$8*PI()/180)/V11*((AB11*1000*$B$14)/($C$11*$C$7*$C$10^2)*(AC11+1)/AC11)^(1/3),1.85*(AB11*1000*$B$14*COS($C$8)^2/($C$11*V11^2*$C$7*$C$9))^(1/3))</f>
        <v>2.0648111644704925</v>
      </c>
      <c r="AE11" s="30">
        <f ca="1">IF(AD11&lt;1,1,IF(AD11&lt;1.125,1.125,IF(AD11&lt;1.375,1.375,IF(AD11&lt;1.5,1.5,IF(AD11&lt;1.75,1.75,IF(AD11&lt;2,2,IF(AD11&lt;2.25,2.25,IF(AD11&lt;2.5,2.5,IF(AD11&lt;2.75,2.75,IF(AD11&lt;3,3,IF(AD11&lt;3.5,3.5,IF(AD11&lt;4,4,"potrebno dodati"))))))))))))</f>
        <v>2.25</v>
      </c>
      <c r="AF11" s="47">
        <f ca="1">AE11/COS($B$8*PI()/180)</f>
        <v>2.25</v>
      </c>
      <c r="AG11" s="28">
        <f ca="1">Z11/V11+1</f>
        <v>5.5238095238095237</v>
      </c>
      <c r="AH11" s="25">
        <f>$B$15</f>
        <v>240</v>
      </c>
      <c r="AI11" s="25">
        <f ca="1">IF($B$15-2*$B$5-2*AE11*3&gt;O11,O11,"neo1")</f>
        <v>199.125</v>
      </c>
      <c r="AJ11" s="25" t="str">
        <f ca="1">IF($B$15-2*$B$5*AE11&gt;AA11,AA11,"neo2")</f>
        <v>neo2</v>
      </c>
      <c r="AK11">
        <f>L11+2</f>
        <v>80</v>
      </c>
      <c r="AL11">
        <f>(J11+L11)*SIN(PI()/$B$11)</f>
        <v>85.736514974659414</v>
      </c>
      <c r="AM11">
        <f>IF(AK11&lt;AL11,J11,"ne")</f>
        <v>21</v>
      </c>
      <c r="AN11">
        <f ca="1">X11+2</f>
        <v>39</v>
      </c>
      <c r="AO11">
        <f ca="1">(V11+X11)*SIN(PI()/$C$11)</f>
        <v>41.012193308819754</v>
      </c>
      <c r="AP11">
        <f ca="1">IF(AN11&lt;AO11,V11,"ne")</f>
        <v>21</v>
      </c>
      <c r="AQ11">
        <f>IF(MOD((J11+N11),$B$11)=0,J11,"ne1")</f>
        <v>21</v>
      </c>
      <c r="AR11">
        <f ca="1">IF(MOD((V11+Z11),$C$11)=0,V11,"ne1")</f>
        <v>21</v>
      </c>
      <c r="AS11">
        <f ca="1">IF(AND(AI11=O11,AM11=J11,AQ11=J11),1,"ne")</f>
        <v>1</v>
      </c>
      <c r="AT11" t="str">
        <f ca="1">IF(AND(AJ11=AA11,AP11=V11,AR11=V11),1,"ne")</f>
        <v>ne</v>
      </c>
      <c r="AU11">
        <f ca="1">$B$15-2*$B$5-2*AE11*3</f>
        <v>212.5</v>
      </c>
    </row>
    <row r="12" spans="1:47" x14ac:dyDescent="0.25">
      <c r="A12" s="34" t="s">
        <v>17</v>
      </c>
      <c r="B12" s="187">
        <f>-(B13-1)</f>
        <v>-8.41</v>
      </c>
      <c r="C12" s="190">
        <f ca="1">-C13+1</f>
        <v>-4.4943293410284513</v>
      </c>
      <c r="J12" s="40">
        <v>22</v>
      </c>
      <c r="K12" s="27">
        <f>J12*T12</f>
        <v>22</v>
      </c>
      <c r="L12" s="27">
        <f>(N12-J12)/2</f>
        <v>82</v>
      </c>
      <c r="M12" s="27">
        <f>L12*T12</f>
        <v>82</v>
      </c>
      <c r="N12" s="27">
        <f>IF(MOD(ROUND(ABS(J12*$B$12),0)-J12,2)=0,ROUND(ABS(J12*$B$12),0),ROUND(ABS(J12*$B$12),0)+1)</f>
        <v>186</v>
      </c>
      <c r="O12" s="39">
        <f>N12*T12</f>
        <v>186</v>
      </c>
      <c r="P12" s="27">
        <f>$B$2/($B$3*2*PI())</f>
        <v>26.525823848649225</v>
      </c>
      <c r="Q12" s="27">
        <f>L12/J12</f>
        <v>3.7272727272727271</v>
      </c>
      <c r="R12" s="27">
        <f>MAX(95*COS($B$8*PI()/180)/J12*(($P$4*1000*$B$14)/($B$11*$B$7*$B$10^2)*(Q12+1)/Q12)^(1/3),1.85*($P$4*1000*$B$14*COS($B$8)^2/($B$11*J12^2*$B$7*$B$9))^(1/3))</f>
        <v>0.9581032205329445</v>
      </c>
      <c r="S12" s="27">
        <f>IF(R12&lt;1,1,IF(R12&lt;1.125,1.125,IF(R12&lt;1.375,1.375,IF(R12&lt;1.5,1.5,IF(R12&lt;1.75,1.75,IF(R12&lt;2,2,IF(R12&lt;2.25,2.25,IF(R12&lt;2.5,2.5,IF(R12&lt;2.75,2.75,IF(R12&lt;3,3,IF(R12&lt;3.5,3.5,IF(R12&lt;4,4,"potrebno dodati"))))))))))))</f>
        <v>1</v>
      </c>
      <c r="T12" s="27">
        <f>S12/COS($B$8*PI()/180)</f>
        <v>1</v>
      </c>
      <c r="U12" s="53">
        <f>N12/J12+1</f>
        <v>9.454545454545455</v>
      </c>
      <c r="V12" s="40">
        <v>22</v>
      </c>
      <c r="W12" s="30">
        <f ca="1">V12*AF12</f>
        <v>44</v>
      </c>
      <c r="X12" s="30">
        <f ca="1">(Z12-V12)/2</f>
        <v>39</v>
      </c>
      <c r="Y12" s="30">
        <f ca="1">X12*AF12</f>
        <v>78</v>
      </c>
      <c r="Z12" s="30">
        <f ca="1">IF(MOD(ROUND(ABS(V12*$C$12),0)-V12,2)=0,ROUND(ABS(V12*$C$12),0),ROUND(ABS(V12*$C$12),0)+1)</f>
        <v>100</v>
      </c>
      <c r="AA12" s="39">
        <f ca="1">Z12*AF12</f>
        <v>200</v>
      </c>
      <c r="AB12" s="30">
        <f ca="1">INDIRECT("U"&amp;($E$17-10))*P12</f>
        <v>249.1120848394884</v>
      </c>
      <c r="AC12" s="30">
        <f ca="1">X12/V12</f>
        <v>1.7727272727272727</v>
      </c>
      <c r="AD12" s="30">
        <f ca="1">MAX(95*COS($C$8*PI()/180)/V12*((AB12*1000*$B$14)/($C$11*$C$7*$C$10^2)*(AC12+1)/AC12)^(1/3),1.85*(AB12*1000*$B$14*COS($C$8)^2/($C$11*V12^2*$C$7*$C$9))^(1/3))</f>
        <v>1.9695028179061866</v>
      </c>
      <c r="AE12" s="30">
        <f ca="1">IF(AD12&lt;1,1,IF(AD12&lt;1.125,1.125,IF(AD12&lt;1.375,1.375,IF(AD12&lt;1.5,1.5,IF(AD12&lt;1.75,1.75,IF(AD12&lt;2,2,IF(AD12&lt;2.25,2.25,IF(AD12&lt;2.5,2.5,IF(AD12&lt;2.75,2.75,IF(AD12&lt;3,3,IF(AD12&lt;3.5,3.5,IF(AD12&lt;4,4,"potrebno dodati"))))))))))))</f>
        <v>2</v>
      </c>
      <c r="AF12" s="47">
        <f ca="1">AE12/COS($B$8*PI()/180)</f>
        <v>2</v>
      </c>
      <c r="AG12" s="28">
        <f ca="1">Z12/V12+1</f>
        <v>5.5454545454545459</v>
      </c>
      <c r="AH12" s="25">
        <f>$B$15</f>
        <v>240</v>
      </c>
      <c r="AI12" s="25">
        <f ca="1">IF($B$15-2*$B$5-2*AE12*3&gt;O12,O12,"neo1")</f>
        <v>186</v>
      </c>
      <c r="AJ12" s="25">
        <f ca="1">IF($B$15-2*$B$5*AE12&gt;AA12,AA12,"neo2")</f>
        <v>200</v>
      </c>
      <c r="AK12">
        <f>L12+2</f>
        <v>84</v>
      </c>
      <c r="AL12">
        <f>(J12+L12)*SIN(PI()/$B$11)</f>
        <v>90.066641993581612</v>
      </c>
      <c r="AM12">
        <f>IF(AK12&lt;AL12,J12,"ne")</f>
        <v>22</v>
      </c>
      <c r="AN12">
        <f ca="1">X12+2</f>
        <v>41</v>
      </c>
      <c r="AO12">
        <f ca="1">(V12+X12)*SIN(PI()/$C$11)</f>
        <v>43.133513652379392</v>
      </c>
      <c r="AP12">
        <f ca="1">IF(AN12&lt;AO12,V12,"ne")</f>
        <v>22</v>
      </c>
      <c r="AQ12" t="str">
        <f>IF(MOD((J12+N12),$B$11)=0,J12,"ne1")</f>
        <v>ne1</v>
      </c>
      <c r="AR12" t="str">
        <f ca="1">IF(MOD((V12+Z12),$C$11)=0,V12,"ne1")</f>
        <v>ne1</v>
      </c>
      <c r="AS12" t="str">
        <f ca="1">IF(AND(AI12=O12,AM12=J12,AQ12=J12),1,"ne")</f>
        <v>ne</v>
      </c>
      <c r="AT12" t="str">
        <f ca="1">IF(AND(AJ12=AA12,AP12=V12,AR12=V12),1,"ne")</f>
        <v>ne</v>
      </c>
      <c r="AU12">
        <f ca="1">$B$15-2*$B$5-2*AE12*3</f>
        <v>214</v>
      </c>
    </row>
    <row r="13" spans="1:47" ht="15.75" thickBot="1" x14ac:dyDescent="0.3">
      <c r="A13" s="34" t="s">
        <v>18</v>
      </c>
      <c r="B13" s="187">
        <f>E9/100</f>
        <v>9.41</v>
      </c>
      <c r="C13" s="191">
        <f ca="1">B17/B13</f>
        <v>5.4943293410284513</v>
      </c>
      <c r="J13" s="40">
        <v>23</v>
      </c>
      <c r="K13" s="27">
        <f>J13*T13</f>
        <v>23</v>
      </c>
      <c r="L13" s="27">
        <f>(N13-J13)/2</f>
        <v>85</v>
      </c>
      <c r="M13" s="27">
        <f>L13*T13</f>
        <v>85</v>
      </c>
      <c r="N13" s="27">
        <f>IF(MOD(ROUND(ABS(J13*$B$12),0)-J13,2)=0,ROUND(ABS(J13*$B$12),0),ROUND(ABS(J13*$B$12),0)+1)</f>
        <v>193</v>
      </c>
      <c r="O13" s="39">
        <f>N13*T13</f>
        <v>193</v>
      </c>
      <c r="P13" s="27">
        <f>$B$2/($B$3*2*PI())</f>
        <v>26.525823848649225</v>
      </c>
      <c r="Q13" s="27">
        <f>L13/J13</f>
        <v>3.6956521739130435</v>
      </c>
      <c r="R13" s="27">
        <f>MAX(95*COS($B$8*PI()/180)/J13*(($P$4*1000*$B$14)/($B$11*$B$7*$B$10^2)*(Q13+1)/Q13)^(1/3),1.85*($P$4*1000*$B$14*COS($B$8)^2/($B$11*J13^2*$B$7*$B$9))^(1/3))</f>
        <v>0.9169991344600138</v>
      </c>
      <c r="S13" s="27">
        <f>IF(R13&lt;1,1,IF(R13&lt;1.125,1.125,IF(R13&lt;1.375,1.375,IF(R13&lt;1.5,1.5,IF(R13&lt;1.75,1.75,IF(R13&lt;2,2,IF(R13&lt;2.25,2.25,IF(R13&lt;2.5,2.5,IF(R13&lt;2.75,2.75,IF(R13&lt;3,3,IF(R13&lt;3.5,3.5,IF(R13&lt;4,4,"potrebno dodati"))))))))))))</f>
        <v>1</v>
      </c>
      <c r="T13" s="27">
        <f>S13/COS($B$8*PI()/180)</f>
        <v>1</v>
      </c>
      <c r="U13" s="53">
        <f>N13/J13+1</f>
        <v>9.3913043478260878</v>
      </c>
      <c r="V13" s="40">
        <v>23</v>
      </c>
      <c r="W13" s="30">
        <f ca="1">V13*AF13</f>
        <v>46</v>
      </c>
      <c r="X13" s="30">
        <f ca="1">(Z13-V13)/2</f>
        <v>40</v>
      </c>
      <c r="Y13" s="30">
        <f ca="1">X13*AF13</f>
        <v>80</v>
      </c>
      <c r="Z13" s="30">
        <f ca="1">IF(MOD(ROUND(ABS(V13*$C$12),0)-V13,2)=0,ROUND(ABS(V13*$C$12),0),ROUND(ABS(V13*$C$12),0)+1)</f>
        <v>103</v>
      </c>
      <c r="AA13" s="39">
        <f ca="1">Z13*AF13</f>
        <v>206</v>
      </c>
      <c r="AB13" s="30">
        <f ca="1">INDIRECT("U"&amp;($E$17-10))*P13</f>
        <v>249.1120848394884</v>
      </c>
      <c r="AC13" s="30">
        <f ca="1">X13/V13</f>
        <v>1.7391304347826086</v>
      </c>
      <c r="AD13" s="30">
        <f ca="1">MAX(95*COS($C$8*PI()/180)/V13*((AB13*1000*$B$14)/($C$11*$C$7*$C$10^2)*(AC13+1)/AC13)^(1/3),1.85*(AB13*1000*$B$14*COS($C$8)^2/($C$11*V13^2*$C$7*$C$9))^(1/3))</f>
        <v>1.8882372521448219</v>
      </c>
      <c r="AE13" s="30">
        <f ca="1">IF(AD13&lt;1,1,IF(AD13&lt;1.125,1.125,IF(AD13&lt;1.375,1.375,IF(AD13&lt;1.5,1.5,IF(AD13&lt;1.75,1.75,IF(AD13&lt;2,2,IF(AD13&lt;2.25,2.25,IF(AD13&lt;2.5,2.5,IF(AD13&lt;2.75,2.75,IF(AD13&lt;3,3,IF(AD13&lt;3.5,3.5,IF(AD13&lt;4,4,"potrebno dodati"))))))))))))</f>
        <v>2</v>
      </c>
      <c r="AF13" s="47">
        <f ca="1">AE13/COS($B$8*PI()/180)</f>
        <v>2</v>
      </c>
      <c r="AG13" s="28">
        <f ca="1">Z13/V13+1</f>
        <v>5.4782608695652177</v>
      </c>
      <c r="AH13" s="25">
        <f>$B$15</f>
        <v>240</v>
      </c>
      <c r="AI13" s="25">
        <f ca="1">IF($B$15-2*$B$5-2*AE13*3&gt;O13,O13,"neo1")</f>
        <v>193</v>
      </c>
      <c r="AJ13" s="25">
        <f ca="1">IF($B$15-2*$B$5*AE13&gt;AA13,AA13,"neo2")</f>
        <v>206</v>
      </c>
      <c r="AK13">
        <f>L13+2</f>
        <v>87</v>
      </c>
      <c r="AL13">
        <f>(J13+L13)*SIN(PI()/$B$11)</f>
        <v>93.530743608719362</v>
      </c>
      <c r="AM13">
        <f>IF(AK13&lt;AL13,J13,"ne")</f>
        <v>23</v>
      </c>
      <c r="AN13">
        <f ca="1">X13+2</f>
        <v>42</v>
      </c>
      <c r="AO13">
        <f ca="1">(V13+X13)*SIN(PI()/$C$11)</f>
        <v>44.547727214752491</v>
      </c>
      <c r="AP13">
        <f ca="1">IF(AN13&lt;AO13,V13,"ne")</f>
        <v>23</v>
      </c>
      <c r="AQ13">
        <f>IF(MOD((J13+N13),$B$11)=0,J13,"ne1")</f>
        <v>23</v>
      </c>
      <c r="AR13" t="str">
        <f ca="1">IF(MOD((V13+Z13),$C$11)=0,V13,"ne1")</f>
        <v>ne1</v>
      </c>
      <c r="AS13">
        <f ca="1">IF(AND(AI13=O13,AM13=J13,AQ13=J13),1,"ne")</f>
        <v>1</v>
      </c>
      <c r="AT13" t="str">
        <f ca="1">IF(AND(AJ13=AA13,AP13=V13,AR13=V13),1,"ne")</f>
        <v>ne</v>
      </c>
      <c r="AU13">
        <f ca="1">$B$15-2*$B$5-2*AE13*3</f>
        <v>214</v>
      </c>
    </row>
    <row r="14" spans="1:47" ht="15.75" thickBot="1" x14ac:dyDescent="0.3">
      <c r="A14" s="38" t="s">
        <v>49</v>
      </c>
      <c r="B14" s="188">
        <v>1.2</v>
      </c>
      <c r="D14" s="25"/>
      <c r="E14" s="209" t="s">
        <v>80</v>
      </c>
      <c r="F14" s="210"/>
      <c r="G14" s="210"/>
      <c r="H14" s="211"/>
      <c r="J14" s="40">
        <v>24</v>
      </c>
      <c r="K14" s="27">
        <f>J14*T14</f>
        <v>24</v>
      </c>
      <c r="L14" s="27">
        <f>(N14-J14)/2</f>
        <v>89</v>
      </c>
      <c r="M14" s="27">
        <f>L14*T14</f>
        <v>89</v>
      </c>
      <c r="N14" s="27">
        <f>IF(MOD(ROUND(ABS(J14*$B$12),0)-J14,2)=0,ROUND(ABS(J14*$B$12),0),ROUND(ABS(J14*$B$12),0)+1)</f>
        <v>202</v>
      </c>
      <c r="O14" s="39">
        <f>N14*T14</f>
        <v>202</v>
      </c>
      <c r="P14" s="27">
        <f>$B$2/($B$3*2*PI())</f>
        <v>26.525823848649225</v>
      </c>
      <c r="Q14" s="27">
        <f>L14/J14</f>
        <v>3.7083333333333335</v>
      </c>
      <c r="R14" s="27">
        <f>MAX(95*COS($B$8*PI()/180)/J14*(($P$4*1000*$B$14)/($B$11*$B$7*$B$10^2)*(Q14+1)/Q14)^(1/3),1.85*($P$4*1000*$B$14*COS($B$8)^2/($B$11*J14^2*$B$7*$B$9))^(1/3))</f>
        <v>0.87857745704924795</v>
      </c>
      <c r="S14" s="27">
        <f>IF(R14&lt;1,1,IF(R14&lt;1.125,1.125,IF(R14&lt;1.375,1.375,IF(R14&lt;1.5,1.5,IF(R14&lt;1.75,1.75,IF(R14&lt;2,2,IF(R14&lt;2.25,2.25,IF(R14&lt;2.5,2.5,IF(R14&lt;2.75,2.75,IF(R14&lt;3,3,IF(R14&lt;3.5,3.5,IF(R14&lt;4,4,"potrebno dodati"))))))))))))</f>
        <v>1</v>
      </c>
      <c r="T14" s="27">
        <f>S14/COS($B$8*PI()/180)</f>
        <v>1</v>
      </c>
      <c r="U14" s="53">
        <f>N14/J14+1</f>
        <v>9.4166666666666661</v>
      </c>
      <c r="V14" s="40">
        <v>24</v>
      </c>
      <c r="W14" s="30">
        <f ca="1">V14*AF14</f>
        <v>48</v>
      </c>
      <c r="X14" s="30">
        <f ca="1">(Z14-V14)/2</f>
        <v>42</v>
      </c>
      <c r="Y14" s="30">
        <f ca="1">X14*AF14</f>
        <v>84</v>
      </c>
      <c r="Z14" s="30">
        <f ca="1">IF(MOD(ROUND(ABS(V14*$C$12),0)-V14,2)=0,ROUND(ABS(V14*$C$12),0),ROUND(ABS(V14*$C$12),0)+1)</f>
        <v>108</v>
      </c>
      <c r="AA14" s="39">
        <f ca="1">Z14*AF14</f>
        <v>216</v>
      </c>
      <c r="AB14" s="30">
        <f ca="1">INDIRECT("U"&amp;($E$17-10))*P14</f>
        <v>249.1120848394884</v>
      </c>
      <c r="AC14" s="30">
        <f ca="1">X14/V14</f>
        <v>1.75</v>
      </c>
      <c r="AD14" s="30">
        <f ca="1">MAX(95*COS($C$8*PI()/180)/V14*((AB14*1000*$B$14)/($C$11*$C$7*$C$10^2)*(AC14+1)/AC14)^(1/3),1.85*(AB14*1000*$B$14*COS($C$8)^2/($C$11*V14^2*$C$7*$C$9))^(1/3))</f>
        <v>1.8081918940791528</v>
      </c>
      <c r="AE14" s="30">
        <f ca="1">IF(AD14&lt;1,1,IF(AD14&lt;1.125,1.125,IF(AD14&lt;1.375,1.375,IF(AD14&lt;1.5,1.5,IF(AD14&lt;1.75,1.75,IF(AD14&lt;2,2,IF(AD14&lt;2.25,2.25,IF(AD14&lt;2.5,2.5,IF(AD14&lt;2.75,2.75,IF(AD14&lt;3,3,IF(AD14&lt;3.5,3.5,IF(AD14&lt;4,4,"potrebno dodati"))))))))))))</f>
        <v>2</v>
      </c>
      <c r="AF14" s="47">
        <f ca="1">AE14/COS($B$8*PI()/180)</f>
        <v>2</v>
      </c>
      <c r="AG14" s="28">
        <f ca="1">Z14/V14+1</f>
        <v>5.5</v>
      </c>
      <c r="AH14" s="25">
        <f>$B$15</f>
        <v>240</v>
      </c>
      <c r="AI14" s="25">
        <f ca="1">IF($B$15-2*$B$5-2*AE14*3&gt;O14,O14,"neo1")</f>
        <v>202</v>
      </c>
      <c r="AJ14" s="25" t="str">
        <f ca="1">IF($B$15-2*$B$5*AE14&gt;AA14,AA14,"neo2")</f>
        <v>neo2</v>
      </c>
      <c r="AK14">
        <f>L14+2</f>
        <v>91</v>
      </c>
      <c r="AL14">
        <f>(J14+L14)*SIN(PI()/$B$11)</f>
        <v>97.86087062764156</v>
      </c>
      <c r="AM14">
        <f>IF(AK14&lt;AL14,J14,"ne")</f>
        <v>24</v>
      </c>
      <c r="AN14">
        <f ca="1">X14+2</f>
        <v>44</v>
      </c>
      <c r="AO14">
        <f ca="1">(V14+X14)*SIN(PI()/$C$11)</f>
        <v>46.66904755831213</v>
      </c>
      <c r="AP14">
        <f ca="1">IF(AN14&lt;AO14,V14,"ne")</f>
        <v>24</v>
      </c>
      <c r="AQ14" t="str">
        <f>IF(MOD((J14+N14),$B$11)=0,J14,"ne1")</f>
        <v>ne1</v>
      </c>
      <c r="AR14">
        <f ca="1">IF(MOD((V14+Z14),$C$11)=0,V14,"ne1")</f>
        <v>24</v>
      </c>
      <c r="AS14" t="str">
        <f ca="1">IF(AND(AI14=O14,AM14=J14,AQ14=J14),1,"ne")</f>
        <v>ne</v>
      </c>
      <c r="AT14" t="str">
        <f ca="1">IF(AND(AJ14=AA14,AP14=V14,AR14=V14),1,"ne")</f>
        <v>ne</v>
      </c>
      <c r="AU14">
        <f ca="1">$B$15-2*$B$5-2*AE14*3</f>
        <v>214</v>
      </c>
    </row>
    <row r="15" spans="1:47" x14ac:dyDescent="0.25">
      <c r="A15" s="32" t="s">
        <v>62</v>
      </c>
      <c r="B15" s="71">
        <v>240</v>
      </c>
      <c r="D15" s="25"/>
      <c r="E15" s="197" t="s">
        <v>82</v>
      </c>
      <c r="F15" s="198"/>
      <c r="G15" s="199" t="s">
        <v>66</v>
      </c>
      <c r="H15" s="201" t="s">
        <v>81</v>
      </c>
      <c r="J15" s="40">
        <v>25</v>
      </c>
      <c r="K15" s="27">
        <f>J15*T15</f>
        <v>25</v>
      </c>
      <c r="L15" s="27">
        <f>(N15-J15)/2</f>
        <v>93</v>
      </c>
      <c r="M15" s="27">
        <f>L15*T15</f>
        <v>93</v>
      </c>
      <c r="N15" s="27">
        <f>IF(MOD(ROUND(ABS(J15*$B$12),0)-J15,2)=0,ROUND(ABS(J15*$B$12),0),ROUND(ABS(J15*$B$12),0)+1)</f>
        <v>211</v>
      </c>
      <c r="O15" s="39">
        <f>N15*T15</f>
        <v>211</v>
      </c>
      <c r="P15" s="27">
        <f>$B$2/($B$3*2*PI())</f>
        <v>26.525823848649225</v>
      </c>
      <c r="Q15" s="27">
        <f>L15/J15</f>
        <v>3.72</v>
      </c>
      <c r="R15" s="27">
        <f>MAX(95*COS($B$8*PI()/180)/J15*(($P$4*1000*$B$14)/($B$11*$B$7*$B$10^2)*(Q15+1)/Q15)^(1/3),1.85*($P$4*1000*$B$14*COS($B$8)^2/($B$11*J15^2*$B$7*$B$9))^(1/3))</f>
        <v>0.84324704783118909</v>
      </c>
      <c r="S15" s="27">
        <f>IF(R15&lt;1,1,IF(R15&lt;1.125,1.125,IF(R15&lt;1.375,1.375,IF(R15&lt;1.5,1.5,IF(R15&lt;1.75,1.75,IF(R15&lt;2,2,IF(R15&lt;2.25,2.25,IF(R15&lt;2.5,2.5,IF(R15&lt;2.75,2.75,IF(R15&lt;3,3,IF(R15&lt;3.5,3.5,IF(R15&lt;4,4,"potrebno dodati"))))))))))))</f>
        <v>1</v>
      </c>
      <c r="T15" s="27">
        <f>S15/COS($B$8*PI()/180)</f>
        <v>1</v>
      </c>
      <c r="U15" s="53">
        <f>N15/J15+1</f>
        <v>9.44</v>
      </c>
      <c r="V15" s="40">
        <v>25</v>
      </c>
      <c r="W15" s="30">
        <f ca="1">V15*AF15</f>
        <v>43.75</v>
      </c>
      <c r="X15" s="30">
        <f ca="1">(Z15-V15)/2</f>
        <v>44</v>
      </c>
      <c r="Y15" s="30">
        <f ca="1">X15*AF15</f>
        <v>77</v>
      </c>
      <c r="Z15" s="30">
        <f ca="1">IF(MOD(ROUND(ABS(V15*$C$12),0)-V15,2)=0,ROUND(ABS(V15*$C$12),0),ROUND(ABS(V15*$C$12),0)+1)</f>
        <v>113</v>
      </c>
      <c r="AA15" s="39">
        <f ca="1">Z15*AF15</f>
        <v>197.75</v>
      </c>
      <c r="AB15" s="30">
        <f ca="1">INDIRECT("U"&amp;($E$17-10))*P15</f>
        <v>249.1120848394884</v>
      </c>
      <c r="AC15" s="30">
        <f ca="1">X15/V15</f>
        <v>1.76</v>
      </c>
      <c r="AD15" s="30">
        <f ca="1">MAX(95*COS($C$8*PI()/180)/V15*((AB15*1000*$B$14)/($C$11*$C$7*$C$10^2)*(AC15+1)/AC15)^(1/3),1.85*(AB15*1000*$B$14*COS($C$8)^2/($C$11*V15^2*$C$7*$C$9))^(1/3))</f>
        <v>1.7346678952504042</v>
      </c>
      <c r="AE15" s="30">
        <f ca="1">IF(AD15&lt;1,1,IF(AD15&lt;1.125,1.125,IF(AD15&lt;1.375,1.375,IF(AD15&lt;1.5,1.5,IF(AD15&lt;1.75,1.75,IF(AD15&lt;2,2,IF(AD15&lt;2.25,2.25,IF(AD15&lt;2.5,2.5,IF(AD15&lt;2.75,2.75,IF(AD15&lt;3,3,IF(AD15&lt;3.5,3.5,IF(AD15&lt;4,4,"potrebno dodati"))))))))))))</f>
        <v>1.75</v>
      </c>
      <c r="AF15" s="47">
        <f ca="1">AE15/COS($B$8*PI()/180)</f>
        <v>1.75</v>
      </c>
      <c r="AG15" s="28">
        <f ca="1">Z15/V15+1</f>
        <v>5.52</v>
      </c>
      <c r="AH15" s="25">
        <f>$B$15</f>
        <v>240</v>
      </c>
      <c r="AI15" s="25">
        <f ca="1">IF($B$15-2*$B$5-2*AE15*3&gt;O15,O15,"neo1")</f>
        <v>211</v>
      </c>
      <c r="AJ15" s="25">
        <f ca="1">IF($B$15-2*$B$5*AE15&gt;AA15,AA15,"neo2")</f>
        <v>197.75</v>
      </c>
      <c r="AK15">
        <f>L15+2</f>
        <v>95</v>
      </c>
      <c r="AL15">
        <f>(J15+L15)*SIN(PI()/$B$11)</f>
        <v>102.19099764656376</v>
      </c>
      <c r="AM15">
        <f>IF(AK15&lt;AL15,J15,"ne")</f>
        <v>25</v>
      </c>
      <c r="AN15">
        <f ca="1">X15+2</f>
        <v>46</v>
      </c>
      <c r="AO15">
        <f ca="1">(V15+X15)*SIN(PI()/$C$11)</f>
        <v>48.790367901871775</v>
      </c>
      <c r="AP15">
        <f ca="1">IF(AN15&lt;AO15,V15,"ne")</f>
        <v>25</v>
      </c>
      <c r="AQ15" t="str">
        <f>IF(MOD((J15+N15),$B$11)=0,J15,"ne1")</f>
        <v>ne1</v>
      </c>
      <c r="AR15" t="str">
        <f ca="1">IF(MOD((V15+Z15),$C$11)=0,V15,"ne1")</f>
        <v>ne1</v>
      </c>
      <c r="AS15" t="str">
        <f ca="1">IF(AND(AI15=O15,AM15=J15,AQ15=J15),1,"ne")</f>
        <v>ne</v>
      </c>
      <c r="AT15" t="str">
        <f ca="1">IF(AND(AJ15=AA15,AP15=V15,AR15=V15),1,"ne")</f>
        <v>ne</v>
      </c>
      <c r="AU15">
        <f ca="1">$B$15-2*$B$5-2*AE15*3</f>
        <v>215.5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200"/>
      <c r="H16" s="202"/>
      <c r="J16" s="40">
        <v>26</v>
      </c>
      <c r="K16" s="27">
        <f>J16*T16</f>
        <v>26</v>
      </c>
      <c r="L16" s="27">
        <f>(N16-J16)/2</f>
        <v>97</v>
      </c>
      <c r="M16" s="27">
        <f>L16*T16</f>
        <v>97</v>
      </c>
      <c r="N16" s="27">
        <f>IF(MOD(ROUND(ABS(J16*$B$12),0)-J16,2)=0,ROUND(ABS(J16*$B$12),0),ROUND(ABS(J16*$B$12),0)+1)</f>
        <v>220</v>
      </c>
      <c r="O16" s="39">
        <f>N16*T16</f>
        <v>220</v>
      </c>
      <c r="P16" s="27">
        <f>$B$2/($B$3*2*PI())</f>
        <v>26.525823848649225</v>
      </c>
      <c r="Q16" s="27">
        <f>L16/J16</f>
        <v>3.7307692307692308</v>
      </c>
      <c r="R16" s="27">
        <f>MAX(95*COS($B$8*PI()/180)/J16*(($P$4*1000*$B$14)/($B$11*$B$7*$B$10^2)*(Q16+1)/Q16)^(1/3),1.85*($P$4*1000*$B$14*COS($B$8)^2/($B$11*J16^2*$B$7*$B$9))^(1/3))</f>
        <v>0.81064914614046168</v>
      </c>
      <c r="S16" s="27">
        <f>IF(R16&lt;1,1,IF(R16&lt;1.125,1.125,IF(R16&lt;1.375,1.375,IF(R16&lt;1.5,1.5,IF(R16&lt;1.75,1.75,IF(R16&lt;2,2,IF(R16&lt;2.25,2.25,IF(R16&lt;2.5,2.5,IF(R16&lt;2.75,2.75,IF(R16&lt;3,3,IF(R16&lt;3.5,3.5,IF(R16&lt;4,4,"potrebno dodati"))))))))))))</f>
        <v>1</v>
      </c>
      <c r="T16" s="27">
        <f>S16/COS($B$8*PI()/180)</f>
        <v>1</v>
      </c>
      <c r="U16" s="53">
        <f>N16/J16+1</f>
        <v>9.4615384615384617</v>
      </c>
      <c r="V16" s="40">
        <v>26</v>
      </c>
      <c r="W16" s="30">
        <f ca="1">V16*AF16</f>
        <v>45.5</v>
      </c>
      <c r="X16" s="30">
        <f ca="1">(Z16-V16)/2</f>
        <v>46</v>
      </c>
      <c r="Y16" s="30">
        <f ca="1">X16*AF16</f>
        <v>80.5</v>
      </c>
      <c r="Z16" s="30">
        <f ca="1">IF(MOD(ROUND(ABS(V16*$C$12),0)-V16,2)=0,ROUND(ABS(V16*$C$12),0),ROUND(ABS(V16*$C$12),0)+1)</f>
        <v>118</v>
      </c>
      <c r="AA16" s="39">
        <f ca="1">Z16*AF16</f>
        <v>206.5</v>
      </c>
      <c r="AB16" s="30">
        <f ca="1">INDIRECT("U"&amp;($E$17-10))*P16</f>
        <v>249.1120848394884</v>
      </c>
      <c r="AC16" s="30">
        <f ca="1">X16/V16</f>
        <v>1.7692307692307692</v>
      </c>
      <c r="AD16" s="30">
        <f ca="1">MAX(95*COS($C$8*PI()/180)/V16*((AB16*1000*$B$14)/($C$11*$C$7*$C$10^2)*(AC16+1)/AC16)^(1/3),1.85*(AB16*1000*$B$14*COS($C$8)^2/($C$11*V16^2*$C$7*$C$9))^(1/3))</f>
        <v>1.6668982281938103</v>
      </c>
      <c r="AE16" s="30">
        <f ca="1">IF(AD16&lt;1,1,IF(AD16&lt;1.125,1.125,IF(AD16&lt;1.375,1.375,IF(AD16&lt;1.5,1.5,IF(AD16&lt;1.75,1.75,IF(AD16&lt;2,2,IF(AD16&lt;2.25,2.25,IF(AD16&lt;2.5,2.5,IF(AD16&lt;2.75,2.75,IF(AD16&lt;3,3,IF(AD16&lt;3.5,3.5,IF(AD16&lt;4,4,"potrebno dodati"))))))))))))</f>
        <v>1.75</v>
      </c>
      <c r="AF16" s="47">
        <f ca="1">AE16/COS($B$8*PI()/180)</f>
        <v>1.75</v>
      </c>
      <c r="AG16" s="28">
        <f ca="1">Z16/V16+1</f>
        <v>5.5384615384615383</v>
      </c>
      <c r="AH16" s="25">
        <f>$B$15</f>
        <v>240</v>
      </c>
      <c r="AI16" s="25" t="str">
        <f ca="1">IF($B$15-2*$B$5-2*AE16*3&gt;O16,O16,"neo1")</f>
        <v>neo1</v>
      </c>
      <c r="AJ16" s="25">
        <f ca="1">IF($B$15-2*$B$5*AE16&gt;AA16,AA16,"neo2")</f>
        <v>206.5</v>
      </c>
      <c r="AK16">
        <f>L16+2</f>
        <v>99</v>
      </c>
      <c r="AL16">
        <f>(J16+L16)*SIN(PI()/$B$11)</f>
        <v>106.52112466548594</v>
      </c>
      <c r="AM16">
        <f>IF(AK16&lt;AL16,J16,"ne")</f>
        <v>26</v>
      </c>
      <c r="AN16">
        <f ca="1">X16+2</f>
        <v>48</v>
      </c>
      <c r="AO16">
        <f ca="1">(V16+X16)*SIN(PI()/$C$11)</f>
        <v>50.911688245431421</v>
      </c>
      <c r="AP16">
        <f ca="1">IF(AN16&lt;AO16,V16,"ne")</f>
        <v>26</v>
      </c>
      <c r="AQ16">
        <f>IF(MOD((J16+N16),$B$11)=0,J16,"ne1")</f>
        <v>26</v>
      </c>
      <c r="AR16">
        <f ca="1">IF(MOD((V16+Z16),$C$11)=0,V16,"ne1")</f>
        <v>26</v>
      </c>
      <c r="AS16" t="str">
        <f ca="1">IF(AND(AI16=O16,AM16=J16,AQ16=J16),1,"ne")</f>
        <v>ne</v>
      </c>
      <c r="AT16">
        <f ca="1">IF(AND(AJ16=AA16,AP16=V16,AR16=V16),1,"ne")</f>
        <v>1</v>
      </c>
      <c r="AU16">
        <f ca="1">$B$15-2*$B$5-2*AE16*3</f>
        <v>215.5</v>
      </c>
    </row>
    <row r="17" spans="1:47" ht="16.5" thickTop="1" thickBot="1" x14ac:dyDescent="0.3">
      <c r="A17" s="35" t="s">
        <v>13</v>
      </c>
      <c r="B17" s="189">
        <f ca="1">B3/B16</f>
        <v>51.701639099077731</v>
      </c>
      <c r="C17" s="25"/>
      <c r="D17" s="25"/>
      <c r="E17" s="77">
        <v>23</v>
      </c>
      <c r="F17" s="78">
        <v>35</v>
      </c>
      <c r="G17" s="75">
        <f ca="1">INDIRECT("U"&amp;(E17-10))*INDIRECT("AG"&amp;(F17-10))</f>
        <v>51.51801242236025</v>
      </c>
      <c r="H17" s="74">
        <f ca="1">(G17/B17-1)*100</f>
        <v>-0.35516606420463726</v>
      </c>
      <c r="J17" s="40">
        <v>27</v>
      </c>
      <c r="K17" s="27">
        <f>J17*T17</f>
        <v>27</v>
      </c>
      <c r="L17" s="27">
        <f>(N17-J17)/2</f>
        <v>100</v>
      </c>
      <c r="M17" s="27">
        <f>L17*T17</f>
        <v>100</v>
      </c>
      <c r="N17" s="27">
        <f>IF(MOD(ROUND(ABS(J17*$B$12),0)-J17,2)=0,ROUND(ABS(J17*$B$12),0),ROUND(ABS(J17*$B$12),0)+1)</f>
        <v>227</v>
      </c>
      <c r="O17" s="39">
        <f>N17*T17</f>
        <v>227</v>
      </c>
      <c r="P17" s="27">
        <f>$B$2/($B$3*2*PI())</f>
        <v>26.525823848649225</v>
      </c>
      <c r="Q17" s="27">
        <f>L17/J17</f>
        <v>3.7037037037037037</v>
      </c>
      <c r="R17" s="27">
        <f>MAX(95*COS($B$8*PI()/180)/J17*(($P$4*1000*$B$14)/($B$11*$B$7*$B$10^2)*(Q17+1)/Q17)^(1/3),1.85*($P$4*1000*$B$14*COS($B$8)^2/($B$11*J17^2*$B$7*$B$9))^(1/3))</f>
        <v>0.78102684478857809</v>
      </c>
      <c r="S17" s="27">
        <f>IF(R17&lt;1,1,IF(R17&lt;1.125,1.125,IF(R17&lt;1.375,1.375,IF(R17&lt;1.5,1.5,IF(R17&lt;1.75,1.75,IF(R17&lt;2,2,IF(R17&lt;2.25,2.25,IF(R17&lt;2.5,2.5,IF(R17&lt;2.75,2.75,IF(R17&lt;3,3,IF(R17&lt;3.5,3.5,IF(R17&lt;4,4,"potrebno dodati"))))))))))))</f>
        <v>1</v>
      </c>
      <c r="T17" s="27">
        <f>S17/COS($B$8*PI()/180)</f>
        <v>1</v>
      </c>
      <c r="U17" s="53">
        <f>N17/J17+1</f>
        <v>9.4074074074074066</v>
      </c>
      <c r="V17" s="40">
        <v>27</v>
      </c>
      <c r="W17" s="30">
        <f ca="1">V17*AF17</f>
        <v>47.25</v>
      </c>
      <c r="X17" s="30">
        <f ca="1">(Z17-V17)/2</f>
        <v>47</v>
      </c>
      <c r="Y17" s="30">
        <f ca="1">X17*AF17</f>
        <v>82.25</v>
      </c>
      <c r="Z17" s="30">
        <f ca="1">IF(MOD(ROUND(ABS(V17*$C$12),0)-V17,2)=0,ROUND(ABS(V17*$C$12),0),ROUND(ABS(V17*$C$12),0)+1)</f>
        <v>121</v>
      </c>
      <c r="AA17" s="39">
        <f ca="1">Z17*AF17</f>
        <v>211.75</v>
      </c>
      <c r="AB17" s="30">
        <f ca="1">INDIRECT("U"&amp;($E$17-10))*P17</f>
        <v>249.1120848394884</v>
      </c>
      <c r="AC17" s="30">
        <f ca="1">X17/V17</f>
        <v>1.7407407407407407</v>
      </c>
      <c r="AD17" s="30">
        <f ca="1">MAX(95*COS($C$8*PI()/180)/V17*((AB17*1000*$B$14)/($C$11*$C$7*$C$10^2)*(AC17+1)/AC17)^(1/3),1.85*(AB17*1000*$B$14*COS($C$8)^2/($C$11*V17^2*$C$7*$C$9))^(1/3))</f>
        <v>1.6083173035539655</v>
      </c>
      <c r="AE17" s="30">
        <f ca="1">IF(AD17&lt;1,1,IF(AD17&lt;1.125,1.125,IF(AD17&lt;1.375,1.375,IF(AD17&lt;1.5,1.5,IF(AD17&lt;1.75,1.75,IF(AD17&lt;2,2,IF(AD17&lt;2.25,2.25,IF(AD17&lt;2.5,2.5,IF(AD17&lt;2.75,2.75,IF(AD17&lt;3,3,IF(AD17&lt;3.5,3.5,IF(AD17&lt;4,4,"potrebno dodati"))))))))))))</f>
        <v>1.75</v>
      </c>
      <c r="AF17" s="47">
        <f ca="1">AE17/COS($B$8*PI()/180)</f>
        <v>1.75</v>
      </c>
      <c r="AG17" s="28">
        <f ca="1">Z17/V17+1</f>
        <v>5.4814814814814818</v>
      </c>
      <c r="AH17" s="25">
        <f>$B$15</f>
        <v>240</v>
      </c>
      <c r="AI17" s="25" t="str">
        <f ca="1">IF($B$15-2*$B$5-2*AE17*3&gt;O17,O17,"neo1")</f>
        <v>neo1</v>
      </c>
      <c r="AJ17" s="25">
        <f ca="1">IF($B$15-2*$B$5*AE17&gt;AA17,AA17,"neo2")</f>
        <v>211.75</v>
      </c>
      <c r="AK17">
        <f>L17+2</f>
        <v>102</v>
      </c>
      <c r="AL17">
        <f>(J17+L17)*SIN(PI()/$B$11)</f>
        <v>109.98522628062371</v>
      </c>
      <c r="AM17">
        <f>IF(AK17&lt;AL17,J17,"ne")</f>
        <v>27</v>
      </c>
      <c r="AN17">
        <f ca="1">X17+2</f>
        <v>49</v>
      </c>
      <c r="AO17">
        <f ca="1">(V17+X17)*SIN(PI()/$C$11)</f>
        <v>52.325901807804513</v>
      </c>
      <c r="AP17">
        <f ca="1">IF(AN17&lt;AO17,V17,"ne")</f>
        <v>27</v>
      </c>
      <c r="AQ17" t="str">
        <f>IF(MOD((J17+N17),$B$11)=0,J17,"ne1")</f>
        <v>ne1</v>
      </c>
      <c r="AR17">
        <f ca="1">IF(MOD((V17+Z17),$C$11)=0,V17,"ne1")</f>
        <v>27</v>
      </c>
      <c r="AS17" t="str">
        <f ca="1">IF(AND(AI17=O17,AM17=J17,AQ17=J17),1,"ne")</f>
        <v>ne</v>
      </c>
      <c r="AT17">
        <f ca="1">IF(AND(AJ17=AA17,AP17=V17,AR17=V17),1,"ne")</f>
        <v>1</v>
      </c>
      <c r="AU17">
        <f ca="1">$B$15-2*$B$5-2*AE17*3</f>
        <v>215.5</v>
      </c>
    </row>
    <row r="18" spans="1:47" x14ac:dyDescent="0.25">
      <c r="D18" s="25"/>
      <c r="J18" s="40">
        <v>28</v>
      </c>
      <c r="K18" s="27">
        <f>J18*T18</f>
        <v>28</v>
      </c>
      <c r="L18" s="27">
        <f>(N18-J18)/2</f>
        <v>104</v>
      </c>
      <c r="M18" s="27">
        <f>L18*T18</f>
        <v>104</v>
      </c>
      <c r="N18" s="27">
        <f>IF(MOD(ROUND(ABS(J18*$B$12),0)-J18,2)=0,ROUND(ABS(J18*$B$12),0),ROUND(ABS(J18*$B$12),0)+1)</f>
        <v>236</v>
      </c>
      <c r="O18" s="39">
        <f>N18*T18</f>
        <v>236</v>
      </c>
      <c r="P18" s="27">
        <f>$B$2/($B$3*2*PI())</f>
        <v>26.525823848649225</v>
      </c>
      <c r="Q18" s="27">
        <f>L18/J18</f>
        <v>3.7142857142857144</v>
      </c>
      <c r="R18" s="27">
        <f>MAX(95*COS($B$8*PI()/180)/J18*(($P$4*1000*$B$14)/($B$11*$B$7*$B$10^2)*(Q18+1)/Q18)^(1/3),1.85*($P$4*1000*$B$14*COS($B$8)^2/($B$11*J18^2*$B$7*$B$9))^(1/3))</f>
        <v>0.7529809422616357</v>
      </c>
      <c r="S18" s="27">
        <f>IF(R18&lt;1,1,IF(R18&lt;1.125,1.125,IF(R18&lt;1.375,1.375,IF(R18&lt;1.5,1.5,IF(R18&lt;1.75,1.75,IF(R18&lt;2,2,IF(R18&lt;2.25,2.25,IF(R18&lt;2.5,2.5,IF(R18&lt;2.75,2.75,IF(R18&lt;3,3,IF(R18&lt;3.5,3.5,IF(R18&lt;4,4,"potrebno dodati"))))))))))))</f>
        <v>1</v>
      </c>
      <c r="T18" s="27">
        <f>S18/COS($B$8*PI()/180)</f>
        <v>1</v>
      </c>
      <c r="U18" s="53">
        <f>N18/J18+1</f>
        <v>9.4285714285714288</v>
      </c>
      <c r="V18" s="40">
        <v>28</v>
      </c>
      <c r="W18" s="30">
        <f ca="1">V18*AF18</f>
        <v>49</v>
      </c>
      <c r="X18" s="30">
        <f ca="1">(Z18-V18)/2</f>
        <v>49</v>
      </c>
      <c r="Y18" s="30">
        <f ca="1">X18*AF18</f>
        <v>85.75</v>
      </c>
      <c r="Z18" s="30">
        <f ca="1">IF(MOD(ROUND(ABS(V18*$C$12),0)-V18,2)=0,ROUND(ABS(V18*$C$12),0),ROUND(ABS(V18*$C$12),0)+1)</f>
        <v>126</v>
      </c>
      <c r="AA18" s="39">
        <f ca="1">Z18*AF18</f>
        <v>220.5</v>
      </c>
      <c r="AB18" s="30">
        <f ca="1">INDIRECT("U"&amp;($E$17-10))*P18</f>
        <v>249.1120848394884</v>
      </c>
      <c r="AC18" s="30">
        <f ca="1">X18/V18</f>
        <v>1.75</v>
      </c>
      <c r="AD18" s="30">
        <f ca="1">MAX(95*COS($C$8*PI()/180)/V18*((AB18*1000*$B$14)/($C$11*$C$7*$C$10^2)*(AC18+1)/AC18)^(1/3),1.85*(AB18*1000*$B$14*COS($C$8)^2/($C$11*V18^2*$C$7*$C$9))^(1/3))</f>
        <v>1.5498787663535594</v>
      </c>
      <c r="AE18" s="30">
        <f ca="1">IF(AD18&lt;1,1,IF(AD18&lt;1.125,1.125,IF(AD18&lt;1.375,1.375,IF(AD18&lt;1.5,1.5,IF(AD18&lt;1.75,1.75,IF(AD18&lt;2,2,IF(AD18&lt;2.25,2.25,IF(AD18&lt;2.5,2.5,IF(AD18&lt;2.75,2.75,IF(AD18&lt;3,3,IF(AD18&lt;3.5,3.5,IF(AD18&lt;4,4,"potrebno dodati"))))))))))))</f>
        <v>1.75</v>
      </c>
      <c r="AF18" s="47">
        <f ca="1">AE18/COS($B$8*PI()/180)</f>
        <v>1.75</v>
      </c>
      <c r="AG18" s="28">
        <f ca="1">Z18/V18+1</f>
        <v>5.5</v>
      </c>
      <c r="AH18" s="25">
        <f>$B$15</f>
        <v>240</v>
      </c>
      <c r="AI18" s="25" t="str">
        <f ca="1">IF($B$15-2*$B$5-2*AE18*3&gt;O18,O18,"neo1")</f>
        <v>neo1</v>
      </c>
      <c r="AJ18" s="25" t="str">
        <f ca="1">IF($B$15-2*$B$5*AE18&gt;AA18,AA18,"neo2")</f>
        <v>neo2</v>
      </c>
      <c r="AK18">
        <f>L18+2</f>
        <v>106</v>
      </c>
      <c r="AL18">
        <f>(J18+L18)*SIN(PI()/$B$11)</f>
        <v>114.31535329954589</v>
      </c>
      <c r="AM18">
        <f>IF(AK18&lt;AL18,J18,"ne")</f>
        <v>28</v>
      </c>
      <c r="AN18">
        <f ca="1">X18+2</f>
        <v>51</v>
      </c>
      <c r="AO18">
        <f ca="1">(V18+X18)*SIN(PI()/$C$11)</f>
        <v>54.447222151364151</v>
      </c>
      <c r="AP18">
        <f ca="1">IF(AN18&lt;AO18,V18,"ne")</f>
        <v>28</v>
      </c>
      <c r="AQ18">
        <f>IF(MOD((J18+N18),$B$11)=0,J18,"ne1")</f>
        <v>28</v>
      </c>
      <c r="AR18" t="str">
        <f ca="1">IF(MOD((V18+Z18),$C$11)=0,V18,"ne1")</f>
        <v>ne1</v>
      </c>
      <c r="AS18" t="str">
        <f ca="1">IF(AND(AI18=O18,AM18=J18,AQ18=J18),1,"ne")</f>
        <v>ne</v>
      </c>
      <c r="AT18" t="str">
        <f ca="1">IF(AND(AJ18=AA18,AP18=V18,AR18=V18),1,"ne")</f>
        <v>ne</v>
      </c>
      <c r="AU18">
        <f ca="1">$B$15-2*$B$5-2*AE18*3</f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>J19*T19</f>
        <v>29</v>
      </c>
      <c r="L19" s="27">
        <f>(N19-J19)/2</f>
        <v>108</v>
      </c>
      <c r="M19" s="27">
        <f>L19*T19</f>
        <v>108</v>
      </c>
      <c r="N19" s="27">
        <f>IF(MOD(ROUND(ABS(J19*$B$12),0)-J19,2)=0,ROUND(ABS(J19*$B$12),0),ROUND(ABS(J19*$B$12),0)+1)</f>
        <v>245</v>
      </c>
      <c r="O19" s="39">
        <f>N19*T19</f>
        <v>245</v>
      </c>
      <c r="P19" s="27">
        <f>$B$2/($B$3*2*PI())</f>
        <v>26.525823848649225</v>
      </c>
      <c r="Q19" s="27">
        <f>L19/J19</f>
        <v>3.7241379310344827</v>
      </c>
      <c r="R19" s="27">
        <f>MAX(95*COS($B$8*PI()/180)/J19*(($P$4*1000*$B$14)/($B$11*$B$7*$B$10^2)*(Q19+1)/Q19)^(1/3),1.85*($P$4*1000*$B$14*COS($B$8)^2/($B$11*J19^2*$B$7*$B$9))^(1/3))</f>
        <v>0.72688006420438722</v>
      </c>
      <c r="S19" s="27">
        <f>IF(R19&lt;1,1,IF(R19&lt;1.125,1.125,IF(R19&lt;1.375,1.375,IF(R19&lt;1.5,1.5,IF(R19&lt;1.75,1.75,IF(R19&lt;2,2,IF(R19&lt;2.25,2.25,IF(R19&lt;2.5,2.5,IF(R19&lt;2.75,2.75,IF(R19&lt;3,3,IF(R19&lt;3.5,3.5,IF(R19&lt;4,4,"potrebno dodati"))))))))))))</f>
        <v>1</v>
      </c>
      <c r="T19" s="27">
        <f>S19/COS($B$8*PI()/180)</f>
        <v>1</v>
      </c>
      <c r="U19" s="53">
        <f>N19/J19+1</f>
        <v>9.4482758620689662</v>
      </c>
      <c r="V19" s="40">
        <v>29</v>
      </c>
      <c r="W19" s="30">
        <f ca="1">V19*AF19</f>
        <v>43.5</v>
      </c>
      <c r="X19" s="30">
        <f ca="1">(Z19-V19)/2</f>
        <v>51</v>
      </c>
      <c r="Y19" s="30">
        <f ca="1">X19*AF19</f>
        <v>76.5</v>
      </c>
      <c r="Z19" s="30">
        <f ca="1">IF(MOD(ROUND(ABS(V19*$C$12),0)-V19,2)=0,ROUND(ABS(V19*$C$12),0),ROUND(ABS(V19*$C$12),0)+1)</f>
        <v>131</v>
      </c>
      <c r="AA19" s="39">
        <f ca="1">Z19*AF19</f>
        <v>196.5</v>
      </c>
      <c r="AB19" s="30">
        <f ca="1">INDIRECT("U"&amp;($E$17-10))*P19</f>
        <v>249.1120848394884</v>
      </c>
      <c r="AC19" s="30">
        <f ca="1">X19/V19</f>
        <v>1.7586206896551724</v>
      </c>
      <c r="AD19" s="30">
        <f ca="1">MAX(95*COS($C$8*PI()/180)/V19*((AB19*1000*$B$14)/($C$11*$C$7*$C$10^2)*(AC19+1)/AC19)^(1/3),1.85*(AB19*1000*$B$14*COS($C$8)^2/($C$11*V19^2*$C$7*$C$9))^(1/3))</f>
        <v>1.4955449949669963</v>
      </c>
      <c r="AE19" s="30">
        <f ca="1">IF(AD19&lt;1,1,IF(AD19&lt;1.125,1.125,IF(AD19&lt;1.375,1.375,IF(AD19&lt;1.5,1.5,IF(AD19&lt;1.75,1.75,IF(AD19&lt;2,2,IF(AD19&lt;2.25,2.25,IF(AD19&lt;2.5,2.5,IF(AD19&lt;2.75,2.75,IF(AD19&lt;3,3,IF(AD19&lt;3.5,3.5,IF(AD19&lt;4,4,"potrebno dodati"))))))))))))</f>
        <v>1.5</v>
      </c>
      <c r="AF19" s="47">
        <f ca="1">AE19/COS($B$8*PI()/180)</f>
        <v>1.5</v>
      </c>
      <c r="AG19" s="28">
        <f ca="1">Z19/V19+1</f>
        <v>5.5172413793103452</v>
      </c>
      <c r="AH19" s="25">
        <f>$B$15</f>
        <v>240</v>
      </c>
      <c r="AI19" s="25" t="str">
        <f ca="1">IF($B$15-2*$B$5-2*AE19*3&gt;O19,O19,"neo1")</f>
        <v>neo1</v>
      </c>
      <c r="AJ19" s="25">
        <f ca="1">IF($B$15-2*$B$5*AE19&gt;AA19,AA19,"neo2")</f>
        <v>196.5</v>
      </c>
      <c r="AK19">
        <f>L19+2</f>
        <v>110</v>
      </c>
      <c r="AL19">
        <f>(J19+L19)*SIN(PI()/$B$11)</f>
        <v>118.64548031846809</v>
      </c>
      <c r="AM19">
        <f>IF(AK19&lt;AL19,J19,"ne")</f>
        <v>29</v>
      </c>
      <c r="AN19">
        <f ca="1">X19+2</f>
        <v>53</v>
      </c>
      <c r="AO19">
        <f ca="1">(V19+X19)*SIN(PI()/$C$11)</f>
        <v>56.568542494923797</v>
      </c>
      <c r="AP19">
        <f ca="1">IF(AN19&lt;AO19,V19,"ne")</f>
        <v>29</v>
      </c>
      <c r="AQ19" t="str">
        <f>IF(MOD((J19+N19),$B$11)=0,J19,"ne1")</f>
        <v>ne1</v>
      </c>
      <c r="AR19">
        <f ca="1">IF(MOD((V19+Z19),$C$11)=0,V19,"ne1")</f>
        <v>29</v>
      </c>
      <c r="AS19" t="str">
        <f ca="1">IF(AND(AI19=O19,AM19=J19,AQ19=J19),1,"ne")</f>
        <v>ne</v>
      </c>
      <c r="AT19">
        <f ca="1">IF(AND(AJ19=AA19,AP19=V19,AR19=V19),1,"ne")</f>
        <v>1</v>
      </c>
      <c r="AU19">
        <f ca="1">$B$15-2*$B$5-2*AE19*3</f>
        <v>217</v>
      </c>
    </row>
    <row r="20" spans="1:47" x14ac:dyDescent="0.25">
      <c r="A20" s="25"/>
      <c r="B20" s="26"/>
      <c r="C20" s="25"/>
      <c r="D20" s="25"/>
      <c r="J20" s="40">
        <v>30</v>
      </c>
      <c r="K20" s="27">
        <f>J20*T20</f>
        <v>30</v>
      </c>
      <c r="L20" s="27">
        <f>(N20-J20)/2</f>
        <v>111</v>
      </c>
      <c r="M20" s="27">
        <f>L20*T20</f>
        <v>111</v>
      </c>
      <c r="N20" s="27">
        <f>IF(MOD(ROUND(ABS(J20*$B$12),0)-J20,2)=0,ROUND(ABS(J20*$B$12),0),ROUND(ABS(J20*$B$12),0)+1)</f>
        <v>252</v>
      </c>
      <c r="O20" s="39">
        <f>N20*T20</f>
        <v>252</v>
      </c>
      <c r="P20" s="27">
        <f>$B$2/($B$3*2*PI())</f>
        <v>26.525823848649225</v>
      </c>
      <c r="Q20" s="27">
        <f>L20/J20</f>
        <v>3.7</v>
      </c>
      <c r="R20" s="27">
        <f>MAX(95*COS($B$8*PI()/180)/J20*(($P$4*1000*$B$14)/($B$11*$B$7*$B$10^2)*(Q20+1)/Q20)^(1/3),1.85*($P$4*1000*$B$14*COS($B$8)^2/($B$11*J20^2*$B$7*$B$9))^(1/3))</f>
        <v>0.70297402015953336</v>
      </c>
      <c r="S20" s="27">
        <f>IF(R20&lt;1,1,IF(R20&lt;1.125,1.125,IF(R20&lt;1.375,1.375,IF(R20&lt;1.5,1.5,IF(R20&lt;1.75,1.75,IF(R20&lt;2,2,IF(R20&lt;2.25,2.25,IF(R20&lt;2.5,2.5,IF(R20&lt;2.75,2.75,IF(R20&lt;3,3,IF(R20&lt;3.5,3.5,IF(R20&lt;4,4,"potrebno dodati"))))))))))))</f>
        <v>1</v>
      </c>
      <c r="T20" s="27">
        <f>S20/COS($B$8*PI()/180)</f>
        <v>1</v>
      </c>
      <c r="U20" s="53">
        <f>N20/J20+1</f>
        <v>9.4</v>
      </c>
      <c r="V20" s="40">
        <v>30</v>
      </c>
      <c r="W20" s="30">
        <f ca="1">V20*AF20</f>
        <v>45</v>
      </c>
      <c r="X20" s="30">
        <f ca="1">(Z20-V20)/2</f>
        <v>53</v>
      </c>
      <c r="Y20" s="30">
        <f ca="1">X20*AF20</f>
        <v>79.5</v>
      </c>
      <c r="Z20" s="30">
        <f ca="1">IF(MOD(ROUND(ABS(V20*$C$12),0)-V20,2)=0,ROUND(ABS(V20*$C$12),0),ROUND(ABS(V20*$C$12),0)+1)</f>
        <v>136</v>
      </c>
      <c r="AA20" s="39">
        <f ca="1">Z20*AF20</f>
        <v>204</v>
      </c>
      <c r="AB20" s="30">
        <f ca="1">INDIRECT("U"&amp;($E$17-10))*P20</f>
        <v>249.1120848394884</v>
      </c>
      <c r="AC20" s="30">
        <f ca="1">X20/V20</f>
        <v>1.7666666666666666</v>
      </c>
      <c r="AD20" s="30">
        <f ca="1">MAX(95*COS($C$8*PI()/180)/V20*((AB20*1000*$B$14)/($C$11*$C$7*$C$10^2)*(AC20+1)/AC20)^(1/3),1.85*(AB20*1000*$B$14*COS($C$8)^2/($C$11*V20^2*$C$7*$C$9))^(1/3))</f>
        <v>1.4448974708673255</v>
      </c>
      <c r="AE20" s="30">
        <f ca="1">IF(AD20&lt;1,1,IF(AD20&lt;1.125,1.125,IF(AD20&lt;1.375,1.375,IF(AD20&lt;1.5,1.5,IF(AD20&lt;1.75,1.75,IF(AD20&lt;2,2,IF(AD20&lt;2.25,2.25,IF(AD20&lt;2.5,2.5,IF(AD20&lt;2.75,2.75,IF(AD20&lt;3,3,IF(AD20&lt;3.5,3.5,IF(AD20&lt;4,4,"potrebno dodati"))))))))))))</f>
        <v>1.5</v>
      </c>
      <c r="AF20" s="47">
        <f ca="1">AE20/COS($B$8*PI()/180)</f>
        <v>1.5</v>
      </c>
      <c r="AG20" s="28">
        <f ca="1">Z20/V20+1</f>
        <v>5.5333333333333332</v>
      </c>
      <c r="AH20" s="25">
        <f>$B$15</f>
        <v>240</v>
      </c>
      <c r="AI20" s="25" t="str">
        <f ca="1">IF($B$15-2*$B$5-2*AE20*3&gt;O20,O20,"neo1")</f>
        <v>neo1</v>
      </c>
      <c r="AJ20" s="25">
        <f ca="1">IF($B$15-2*$B$5*AE20&gt;AA20,AA20,"neo2")</f>
        <v>204</v>
      </c>
      <c r="AK20">
        <f>L20+2</f>
        <v>113</v>
      </c>
      <c r="AL20">
        <f>(J20+L20)*SIN(PI()/$B$11)</f>
        <v>122.10958193360584</v>
      </c>
      <c r="AM20">
        <f>IF(AK20&lt;AL20,J20,"ne")</f>
        <v>30</v>
      </c>
      <c r="AN20">
        <f ca="1">X20+2</f>
        <v>55</v>
      </c>
      <c r="AO20">
        <f ca="1">(V20+X20)*SIN(PI()/$C$11)</f>
        <v>58.689862838483442</v>
      </c>
      <c r="AP20">
        <f ca="1">IF(AN20&lt;AO20,V20,"ne")</f>
        <v>30</v>
      </c>
      <c r="AQ20">
        <f>IF(MOD((J20+N20),$B$11)=0,J20,"ne1")</f>
        <v>30</v>
      </c>
      <c r="AR20" t="str">
        <f ca="1">IF(MOD((V20+Z20),$C$11)=0,V20,"ne1")</f>
        <v>ne1</v>
      </c>
      <c r="AS20" t="str">
        <f ca="1">IF(AND(AI20=O20,AM20=J20,AQ20=J20),1,"ne")</f>
        <v>ne</v>
      </c>
      <c r="AT20" t="str">
        <f ca="1">IF(AND(AJ20=AA20,AP20=V20,AR20=V20),1,"ne")</f>
        <v>ne</v>
      </c>
      <c r="AU20">
        <f ca="1">$B$15-2*$B$5-2*AE20*3</f>
        <v>217</v>
      </c>
    </row>
    <row r="21" spans="1:47" x14ac:dyDescent="0.25">
      <c r="A21" s="25"/>
      <c r="B21" s="26"/>
      <c r="C21" s="25"/>
      <c r="D21" s="25"/>
      <c r="J21" s="40">
        <v>31</v>
      </c>
      <c r="K21" s="27">
        <f>J21*T21</f>
        <v>31</v>
      </c>
      <c r="L21" s="27">
        <f>(N21-J21)/2</f>
        <v>115</v>
      </c>
      <c r="M21" s="27">
        <f>L21*T21</f>
        <v>115</v>
      </c>
      <c r="N21" s="27">
        <f>IF(MOD(ROUND(ABS(J21*$B$12),0)-J21,2)=0,ROUND(ABS(J21*$B$12),0),ROUND(ABS(J21*$B$12),0)+1)</f>
        <v>261</v>
      </c>
      <c r="O21" s="39">
        <f>N21*T21</f>
        <v>261</v>
      </c>
      <c r="P21" s="27">
        <f>$B$2/($B$3*2*PI())</f>
        <v>26.525823848649225</v>
      </c>
      <c r="Q21" s="27">
        <f>L21/J21</f>
        <v>3.7096774193548385</v>
      </c>
      <c r="R21" s="27">
        <f>MAX(95*COS($B$8*PI()/180)/J21*(($P$4*1000*$B$14)/($B$11*$B$7*$B$10^2)*(Q21+1)/Q21)^(1/3),1.85*($P$4*1000*$B$14*COS($B$8)^2/($B$11*J21^2*$B$7*$B$9))^(1/3))</f>
        <v>0.68017155110418381</v>
      </c>
      <c r="S21" s="27">
        <f>IF(R21&lt;1,1,IF(R21&lt;1.125,1.125,IF(R21&lt;1.375,1.375,IF(R21&lt;1.5,1.5,IF(R21&lt;1.75,1.75,IF(R21&lt;2,2,IF(R21&lt;2.25,2.25,IF(R21&lt;2.5,2.5,IF(R21&lt;2.75,2.75,IF(R21&lt;3,3,IF(R21&lt;3.5,3.5,IF(R21&lt;4,4,"potrebno dodati"))))))))))))</f>
        <v>1</v>
      </c>
      <c r="T21" s="27">
        <f>S21/COS($B$8*PI()/180)</f>
        <v>1</v>
      </c>
      <c r="U21" s="53">
        <f>N21/J21+1</f>
        <v>9.4193548387096779</v>
      </c>
      <c r="V21" s="40">
        <v>31</v>
      </c>
      <c r="W21" s="30">
        <f ca="1">V21*AF21</f>
        <v>46.5</v>
      </c>
      <c r="X21" s="30">
        <f ca="1">(Z21-V21)/2</f>
        <v>54</v>
      </c>
      <c r="Y21" s="30">
        <f ca="1">X21*AF21</f>
        <v>81</v>
      </c>
      <c r="Z21" s="30">
        <f ca="1">IF(MOD(ROUND(ABS(V21*$C$12),0)-V21,2)=0,ROUND(ABS(V21*$C$12),0),ROUND(ABS(V21*$C$12),0)+1)</f>
        <v>139</v>
      </c>
      <c r="AA21" s="39">
        <f ca="1">Z21*AF21</f>
        <v>208.5</v>
      </c>
      <c r="AB21" s="30">
        <f ca="1">INDIRECT("U"&amp;($E$17-10))*P21</f>
        <v>249.1120848394884</v>
      </c>
      <c r="AC21" s="30">
        <f ca="1">X21/V21</f>
        <v>1.7419354838709677</v>
      </c>
      <c r="AD21" s="30">
        <f ca="1">MAX(95*COS($C$8*PI()/180)/V21*((AB21*1000*$B$14)/($C$11*$C$7*$C$10^2)*(AC21+1)/AC21)^(1/3),1.85*(AB21*1000*$B$14*COS($C$8)^2/($C$11*V21^2*$C$7*$C$9))^(1/3))</f>
        <v>1.4006756308865249</v>
      </c>
      <c r="AE21" s="30">
        <f ca="1">IF(AD21&lt;1,1,IF(AD21&lt;1.125,1.125,IF(AD21&lt;1.375,1.375,IF(AD21&lt;1.5,1.5,IF(AD21&lt;1.75,1.75,IF(AD21&lt;2,2,IF(AD21&lt;2.25,2.25,IF(AD21&lt;2.5,2.5,IF(AD21&lt;2.75,2.75,IF(AD21&lt;3,3,IF(AD21&lt;3.5,3.5,IF(AD21&lt;4,4,"potrebno dodati"))))))))))))</f>
        <v>1.5</v>
      </c>
      <c r="AF21" s="47">
        <f ca="1">AE21/COS($B$8*PI()/180)</f>
        <v>1.5</v>
      </c>
      <c r="AG21" s="28">
        <f ca="1">Z21/V21+1</f>
        <v>5.4838709677419351</v>
      </c>
      <c r="AH21" s="25">
        <f>$B$15</f>
        <v>240</v>
      </c>
      <c r="AI21" s="25" t="str">
        <f ca="1">IF($B$15-2*$B$5-2*AE21*3&gt;O21,O21,"neo1")</f>
        <v>neo1</v>
      </c>
      <c r="AJ21" s="25">
        <f ca="1">IF($B$15-2*$B$5*AE21&gt;AA21,AA21,"neo2")</f>
        <v>208.5</v>
      </c>
      <c r="AK21">
        <f>L21+2</f>
        <v>117</v>
      </c>
      <c r="AL21">
        <f>(J21+L21)*SIN(PI()/$B$11)</f>
        <v>126.43970895252804</v>
      </c>
      <c r="AM21">
        <f>IF(AK21&lt;AL21,J21,"ne")</f>
        <v>31</v>
      </c>
      <c r="AN21">
        <f ca="1">X21+2</f>
        <v>56</v>
      </c>
      <c r="AO21">
        <f ca="1">(V21+X21)*SIN(PI()/$C$11)</f>
        <v>60.104076400856535</v>
      </c>
      <c r="AP21">
        <f ca="1">IF(AN21&lt;AO21,V21,"ne")</f>
        <v>31</v>
      </c>
      <c r="AQ21" t="str">
        <f>IF(MOD((J21+N21),$B$11)=0,J21,"ne1")</f>
        <v>ne1</v>
      </c>
      <c r="AR21" t="str">
        <f ca="1">IF(MOD((V21+Z21),$C$11)=0,V21,"ne1")</f>
        <v>ne1</v>
      </c>
      <c r="AS21" t="str">
        <f ca="1">IF(AND(AI21=O21,AM21=J21,AQ21=J21),1,"ne")</f>
        <v>ne</v>
      </c>
      <c r="AT21" t="str">
        <f ca="1">IF(AND(AJ21=AA21,AP21=V21,AR21=V21),1,"ne")</f>
        <v>ne</v>
      </c>
      <c r="AU21">
        <f ca="1">$B$15-2*$B$5-2*AE21*3</f>
        <v>217</v>
      </c>
    </row>
    <row r="22" spans="1:47" x14ac:dyDescent="0.25">
      <c r="A22" s="25"/>
      <c r="B22" s="25"/>
      <c r="C22" s="25"/>
      <c r="D22" s="25"/>
      <c r="J22" s="40">
        <v>32</v>
      </c>
      <c r="K22" s="27">
        <f>J22*T22</f>
        <v>32</v>
      </c>
      <c r="L22" s="27">
        <f>(N22-J22)/2</f>
        <v>119</v>
      </c>
      <c r="M22" s="27">
        <f>L22*T22</f>
        <v>119</v>
      </c>
      <c r="N22" s="27">
        <f>IF(MOD(ROUND(ABS(J22*$B$12),0)-J22,2)=0,ROUND(ABS(J22*$B$12),0),ROUND(ABS(J22*$B$12),0)+1)</f>
        <v>270</v>
      </c>
      <c r="O22" s="39">
        <f>N22*T22</f>
        <v>270</v>
      </c>
      <c r="P22" s="27">
        <f>$B$2/($B$3*2*PI())</f>
        <v>26.525823848649225</v>
      </c>
      <c r="Q22" s="27">
        <f>L22/J22</f>
        <v>3.71875</v>
      </c>
      <c r="R22" s="27">
        <f>MAX(95*COS($B$8*PI()/180)/J22*(($P$4*1000*$B$14)/($B$11*$B$7*$B$10^2)*(Q22+1)/Q22)^(1/3),1.85*($P$4*1000*$B$14*COS($B$8)^2/($B$11*J22^2*$B$7*$B$9))^(1/3))</f>
        <v>0.65880239423040465</v>
      </c>
      <c r="S22" s="27">
        <f>IF(R22&lt;1,1,IF(R22&lt;1.125,1.125,IF(R22&lt;1.375,1.375,IF(R22&lt;1.5,1.5,IF(R22&lt;1.75,1.75,IF(R22&lt;2,2,IF(R22&lt;2.25,2.25,IF(R22&lt;2.5,2.5,IF(R22&lt;2.75,2.75,IF(R22&lt;3,3,IF(R22&lt;3.5,3.5,IF(R22&lt;4,4,"potrebno dodati"))))))))))))</f>
        <v>1</v>
      </c>
      <c r="T22" s="27">
        <f>S22/COS($B$8*PI()/180)</f>
        <v>1</v>
      </c>
      <c r="U22" s="53">
        <f>N22/J22+1</f>
        <v>9.4375</v>
      </c>
      <c r="V22" s="40">
        <v>32</v>
      </c>
      <c r="W22" s="30">
        <f ca="1">V22*AF22</f>
        <v>44</v>
      </c>
      <c r="X22" s="30">
        <f ca="1">(Z22-V22)/2</f>
        <v>56</v>
      </c>
      <c r="Y22" s="30">
        <f ca="1">X22*AF22</f>
        <v>77</v>
      </c>
      <c r="Z22" s="30">
        <f ca="1">IF(MOD(ROUND(ABS(V22*$C$12),0)-V22,2)=0,ROUND(ABS(V22*$C$12),0),ROUND(ABS(V22*$C$12),0)+1)</f>
        <v>144</v>
      </c>
      <c r="AA22" s="39">
        <f ca="1">Z22*AF22</f>
        <v>198</v>
      </c>
      <c r="AB22" s="30">
        <f ca="1">INDIRECT("U"&amp;($E$17-10))*P22</f>
        <v>249.1120848394884</v>
      </c>
      <c r="AC22" s="30">
        <f ca="1">X22/V22</f>
        <v>1.75</v>
      </c>
      <c r="AD22" s="30">
        <f ca="1">MAX(95*COS($C$8*PI()/180)/V22*((AB22*1000*$B$14)/($C$11*$C$7*$C$10^2)*(AC22+1)/AC22)^(1/3),1.85*(AB22*1000*$B$14*COS($C$8)^2/($C$11*V22^2*$C$7*$C$9))^(1/3))</f>
        <v>1.3561439205593646</v>
      </c>
      <c r="AE22" s="30">
        <f ca="1">IF(AD22&lt;1,1,IF(AD22&lt;1.125,1.125,IF(AD22&lt;1.375,1.375,IF(AD22&lt;1.5,1.5,IF(AD22&lt;1.75,1.75,IF(AD22&lt;2,2,IF(AD22&lt;2.25,2.25,IF(AD22&lt;2.5,2.5,IF(AD22&lt;2.75,2.75,IF(AD22&lt;3,3,IF(AD22&lt;3.5,3.5,IF(AD22&lt;4,4,"potrebno dodati"))))))))))))</f>
        <v>1.375</v>
      </c>
      <c r="AF22" s="47">
        <f ca="1">AE22/COS($B$8*PI()/180)</f>
        <v>1.375</v>
      </c>
      <c r="AG22" s="28">
        <f ca="1">Z22/V22+1</f>
        <v>5.5</v>
      </c>
      <c r="AH22" s="25">
        <f>$B$15</f>
        <v>240</v>
      </c>
      <c r="AI22" s="25" t="str">
        <f ca="1">IF($B$15-2*$B$5-2*AE22*3&gt;O22,O22,"neo1")</f>
        <v>neo1</v>
      </c>
      <c r="AJ22" s="25">
        <f ca="1">IF($B$15-2*$B$5*AE22&gt;AA22,AA22,"neo2")</f>
        <v>198</v>
      </c>
      <c r="AK22">
        <f>L22+2</f>
        <v>121</v>
      </c>
      <c r="AL22">
        <f>(J22+L22)*SIN(PI()/$B$11)</f>
        <v>130.76983597145022</v>
      </c>
      <c r="AM22">
        <f>IF(AK22&lt;AL22,J22,"ne")</f>
        <v>32</v>
      </c>
      <c r="AN22">
        <f ca="1">X22+2</f>
        <v>58</v>
      </c>
      <c r="AO22">
        <f ca="1">(V22+X22)*SIN(PI()/$C$11)</f>
        <v>62.225396744416173</v>
      </c>
      <c r="AP22">
        <f ca="1">IF(AN22&lt;AO22,V22,"ne")</f>
        <v>32</v>
      </c>
      <c r="AQ22" t="str">
        <f>IF(MOD((J22+N22),$B$11)=0,J22,"ne1")</f>
        <v>ne1</v>
      </c>
      <c r="AR22">
        <f ca="1">IF(MOD((V22+Z22),$C$11)=0,V22,"ne1")</f>
        <v>32</v>
      </c>
      <c r="AS22" t="str">
        <f ca="1">IF(AND(AI22=O22,AM22=J22,AQ22=J22),1,"ne")</f>
        <v>ne</v>
      </c>
      <c r="AT22">
        <f ca="1">IF(AND(AJ22=AA22,AP22=V22,AR22=V22),1,"ne")</f>
        <v>1</v>
      </c>
      <c r="AU22">
        <f ca="1">$B$15-2*$B$5-2*AE22*3</f>
        <v>217.75</v>
      </c>
    </row>
    <row r="23" spans="1:47" x14ac:dyDescent="0.25">
      <c r="J23" s="40">
        <v>33</v>
      </c>
      <c r="K23" s="27">
        <f>J23*T23</f>
        <v>33</v>
      </c>
      <c r="L23" s="27">
        <f>(N23-J23)/2</f>
        <v>123</v>
      </c>
      <c r="M23" s="27">
        <f>L23*T23</f>
        <v>123</v>
      </c>
      <c r="N23" s="27">
        <f>IF(MOD(ROUND(ABS(J23*$B$12),0)-J23,2)=0,ROUND(ABS(J23*$B$12),0),ROUND(ABS(J23*$B$12),0)+1)</f>
        <v>279</v>
      </c>
      <c r="O23" s="39">
        <f>N23*T23</f>
        <v>279</v>
      </c>
      <c r="P23" s="27">
        <f>$B$2/($B$3*2*PI())</f>
        <v>26.525823848649225</v>
      </c>
      <c r="Q23" s="27">
        <f>L23/J23</f>
        <v>3.7272727272727271</v>
      </c>
      <c r="R23" s="27">
        <f>MAX(95*COS($B$8*PI()/180)/J23*(($P$4*1000*$B$14)/($B$11*$B$7*$B$10^2)*(Q23+1)/Q23)^(1/3),1.85*($P$4*1000*$B$14*COS($B$8)^2/($B$11*J23^2*$B$7*$B$9))^(1/3))</f>
        <v>0.63873548035529637</v>
      </c>
      <c r="S23" s="27">
        <f>IF(R23&lt;1,1,IF(R23&lt;1.125,1.125,IF(R23&lt;1.375,1.375,IF(R23&lt;1.5,1.5,IF(R23&lt;1.75,1.75,IF(R23&lt;2,2,IF(R23&lt;2.25,2.25,IF(R23&lt;2.5,2.5,IF(R23&lt;2.75,2.75,IF(R23&lt;3,3,IF(R23&lt;3.5,3.5,IF(R23&lt;4,4,"potrebno dodati"))))))))))))</f>
        <v>1</v>
      </c>
      <c r="T23" s="27">
        <f>S23/COS($B$8*PI()/180)</f>
        <v>1</v>
      </c>
      <c r="U23" s="53">
        <f>N23/J23+1</f>
        <v>9.454545454545455</v>
      </c>
      <c r="V23" s="40">
        <v>33</v>
      </c>
      <c r="W23" s="30">
        <f ca="1">V23*AF23</f>
        <v>45.375</v>
      </c>
      <c r="X23" s="30">
        <f ca="1">(Z23-V23)/2</f>
        <v>58</v>
      </c>
      <c r="Y23" s="30">
        <f ca="1">X23*AF23</f>
        <v>79.75</v>
      </c>
      <c r="Z23" s="30">
        <f ca="1">IF(MOD(ROUND(ABS(V23*$C$12),0)-V23,2)=0,ROUND(ABS(V23*$C$12),0),ROUND(ABS(V23*$C$12),0)+1)</f>
        <v>149</v>
      </c>
      <c r="AA23" s="39">
        <f ca="1">Z23*AF23</f>
        <v>204.875</v>
      </c>
      <c r="AB23" s="30">
        <f ca="1">INDIRECT("U"&amp;($E$17-10))*P23</f>
        <v>249.1120848394884</v>
      </c>
      <c r="AC23" s="30">
        <f ca="1">X23/V23</f>
        <v>1.7575757575757576</v>
      </c>
      <c r="AD23" s="30">
        <f ca="1">MAX(95*COS($C$8*PI()/180)/V23*((AB23*1000*$B$14)/($C$11*$C$7*$C$10^2)*(AC23+1)/AC23)^(1/3),1.85*(AB23*1000*$B$14*COS($C$8)^2/($C$11*V23^2*$C$7*$C$9))^(1/3))</f>
        <v>1.3143612226963284</v>
      </c>
      <c r="AE23" s="30">
        <f ca="1">IF(AD23&lt;1,1,IF(AD23&lt;1.125,1.125,IF(AD23&lt;1.375,1.375,IF(AD23&lt;1.5,1.5,IF(AD23&lt;1.75,1.75,IF(AD23&lt;2,2,IF(AD23&lt;2.25,2.25,IF(AD23&lt;2.5,2.5,IF(AD23&lt;2.75,2.75,IF(AD23&lt;3,3,IF(AD23&lt;3.5,3.5,IF(AD23&lt;4,4,"potrebno dodati"))))))))))))</f>
        <v>1.375</v>
      </c>
      <c r="AF23" s="47">
        <f ca="1">AE23/COS($B$8*PI()/180)</f>
        <v>1.375</v>
      </c>
      <c r="AG23" s="28">
        <f ca="1">Z23/V23+1</f>
        <v>5.5151515151515156</v>
      </c>
      <c r="AH23" s="25">
        <f>$B$15</f>
        <v>240</v>
      </c>
      <c r="AI23" s="25" t="str">
        <f ca="1">IF($B$15-2*$B$5-2*AE23*3&gt;O23,O23,"neo1")</f>
        <v>neo1</v>
      </c>
      <c r="AJ23" s="25">
        <f ca="1">IF($B$15-2*$B$5*AE23&gt;AA23,AA23,"neo2")</f>
        <v>204.875</v>
      </c>
      <c r="AK23">
        <f>L23+2</f>
        <v>125</v>
      </c>
      <c r="AL23">
        <f>(J23+L23)*SIN(PI()/$B$11)</f>
        <v>135.09996299037243</v>
      </c>
      <c r="AM23">
        <f>IF(AK23&lt;AL23,J23,"ne")</f>
        <v>33</v>
      </c>
      <c r="AN23">
        <f ca="1">X23+2</f>
        <v>60</v>
      </c>
      <c r="AO23">
        <f ca="1">(V23+X23)*SIN(PI()/$C$11)</f>
        <v>64.346717087975819</v>
      </c>
      <c r="AP23">
        <f ca="1">IF(AN23&lt;AO23,V23,"ne")</f>
        <v>33</v>
      </c>
      <c r="AQ23">
        <f>IF(MOD((J23+N23),$B$11)=0,J23,"ne1")</f>
        <v>33</v>
      </c>
      <c r="AR23" t="str">
        <f ca="1">IF(MOD((V23+Z23),$C$11)=0,V23,"ne1")</f>
        <v>ne1</v>
      </c>
      <c r="AS23" t="str">
        <f ca="1">IF(AND(AI23=O23,AM23=J23,AQ23=J23),1,"ne")</f>
        <v>ne</v>
      </c>
      <c r="AT23" t="str">
        <f ca="1">IF(AND(AJ23=AA23,AP23=V23,AR23=V23),1,"ne")</f>
        <v>ne</v>
      </c>
      <c r="AU23">
        <f ca="1">$B$15-2*$B$5-2*AE23*3</f>
        <v>217.75</v>
      </c>
    </row>
    <row r="24" spans="1:47" x14ac:dyDescent="0.25">
      <c r="J24" s="40">
        <v>34</v>
      </c>
      <c r="K24" s="27">
        <f>J24*T24</f>
        <v>34</v>
      </c>
      <c r="L24" s="27">
        <f>(N24-J24)/2</f>
        <v>126</v>
      </c>
      <c r="M24" s="27">
        <f>L24*T24</f>
        <v>126</v>
      </c>
      <c r="N24" s="27">
        <f>IF(MOD(ROUND(ABS(J24*$B$12),0)-J24,2)=0,ROUND(ABS(J24*$B$12),0),ROUND(ABS(J24*$B$12),0)+1)</f>
        <v>286</v>
      </c>
      <c r="O24" s="39">
        <f>N24*T24</f>
        <v>286</v>
      </c>
      <c r="P24" s="27">
        <f>$B$2/($B$3*2*PI())</f>
        <v>26.525823848649225</v>
      </c>
      <c r="Q24" s="27">
        <f>L24/J24</f>
        <v>3.7058823529411766</v>
      </c>
      <c r="R24" s="27">
        <f>MAX(95*COS($B$8*PI()/180)/J24*(($P$4*1000*$B$14)/($B$11*$B$7*$B$10^2)*(Q24+1)/Q24)^(1/3),1.85*($P$4*1000*$B$14*COS($B$8)^2/($B$11*J24^2*$B$7*$B$9))^(1/3))</f>
        <v>0.62020135962662826</v>
      </c>
      <c r="S24" s="27">
        <f>IF(R24&lt;1,1,IF(R24&lt;1.125,1.125,IF(R24&lt;1.375,1.375,IF(R24&lt;1.5,1.5,IF(R24&lt;1.75,1.75,IF(R24&lt;2,2,IF(R24&lt;2.25,2.25,IF(R24&lt;2.5,2.5,IF(R24&lt;2.75,2.75,IF(R24&lt;3,3,IF(R24&lt;3.5,3.5,IF(R24&lt;4,4,"potrebno dodati"))))))))))))</f>
        <v>1</v>
      </c>
      <c r="T24" s="27">
        <f>S24/COS($B$8*PI()/180)</f>
        <v>1</v>
      </c>
      <c r="U24" s="53">
        <f>N24/J24+1</f>
        <v>9.4117647058823533</v>
      </c>
      <c r="V24" s="40">
        <v>34</v>
      </c>
      <c r="W24" s="30">
        <f ca="1">V24*AF24</f>
        <v>46.75</v>
      </c>
      <c r="X24" s="30">
        <f ca="1">(Z24-V24)/2</f>
        <v>60</v>
      </c>
      <c r="Y24" s="30">
        <f ca="1">X24*AF24</f>
        <v>82.5</v>
      </c>
      <c r="Z24" s="30">
        <f ca="1">IF(MOD(ROUND(ABS(V24*$C$12),0)-V24,2)=0,ROUND(ABS(V24*$C$12),0),ROUND(ABS(V24*$C$12),0)+1)</f>
        <v>154</v>
      </c>
      <c r="AA24" s="39">
        <f ca="1">Z24*AF24</f>
        <v>211.75</v>
      </c>
      <c r="AB24" s="30">
        <f ca="1">INDIRECT("U"&amp;($E$17-10))*P24</f>
        <v>249.1120848394884</v>
      </c>
      <c r="AC24" s="30">
        <f ca="1">X24/V24</f>
        <v>1.7647058823529411</v>
      </c>
      <c r="AD24" s="30">
        <f ca="1">MAX(95*COS($C$8*PI()/180)/V24*((AB24*1000*$B$14)/($C$11*$C$7*$C$10^2)*(AC24+1)/AC24)^(1/3),1.85*(AB24*1000*$B$14*COS($C$8)^2/($C$11*V24^2*$C$7*$C$9))^(1/3))</f>
        <v>1.2750801808960821</v>
      </c>
      <c r="AE24" s="30">
        <f ca="1">IF(AD24&lt;1,1,IF(AD24&lt;1.125,1.125,IF(AD24&lt;1.375,1.375,IF(AD24&lt;1.5,1.5,IF(AD24&lt;1.75,1.75,IF(AD24&lt;2,2,IF(AD24&lt;2.25,2.25,IF(AD24&lt;2.5,2.5,IF(AD24&lt;2.75,2.75,IF(AD24&lt;3,3,IF(AD24&lt;3.5,3.5,IF(AD24&lt;4,4,"potrebno dodati"))))))))))))</f>
        <v>1.375</v>
      </c>
      <c r="AF24" s="47">
        <f ca="1">AE24/COS($B$8*PI()/180)</f>
        <v>1.375</v>
      </c>
      <c r="AG24" s="28">
        <f ca="1">Z24/V24+1</f>
        <v>5.5294117647058822</v>
      </c>
      <c r="AH24" s="25">
        <f>$B$15</f>
        <v>240</v>
      </c>
      <c r="AI24" s="25" t="str">
        <f ca="1">IF($B$15-2*$B$5-2*AE24*3&gt;O24,O24,"neo1")</f>
        <v>neo1</v>
      </c>
      <c r="AJ24" s="25">
        <f ca="1">IF($B$15-2*$B$5*AE24&gt;AA24,AA24,"neo2")</f>
        <v>211.75</v>
      </c>
      <c r="AK24">
        <f>L24+2</f>
        <v>128</v>
      </c>
      <c r="AL24">
        <f>(J24+L24)*SIN(PI()/$B$11)</f>
        <v>138.56406460551017</v>
      </c>
      <c r="AM24">
        <f>IF(AK24&lt;AL24,J24,"ne")</f>
        <v>34</v>
      </c>
      <c r="AN24">
        <f ca="1">X24+2</f>
        <v>62</v>
      </c>
      <c r="AO24">
        <f ca="1">(V24+X24)*SIN(PI()/$C$11)</f>
        <v>66.468037431535464</v>
      </c>
      <c r="AP24">
        <f ca="1">IF(AN24&lt;AO24,V24,"ne")</f>
        <v>34</v>
      </c>
      <c r="AQ24" t="str">
        <f>IF(MOD((J24+N24),$B$11)=0,J24,"ne1")</f>
        <v>ne1</v>
      </c>
      <c r="AR24">
        <f ca="1">IF(MOD((V24+Z24),$C$11)=0,V24,"ne1")</f>
        <v>34</v>
      </c>
      <c r="AS24" t="str">
        <f ca="1">IF(AND(AI24=O24,AM24=J24,AQ24=J24),1,"ne")</f>
        <v>ne</v>
      </c>
      <c r="AT24">
        <f ca="1">IF(AND(AJ24=AA24,AP24=V24,AR24=V24),1,"ne")</f>
        <v>1</v>
      </c>
      <c r="AU24">
        <f ca="1">$B$15-2*$B$5-2*AE24*3</f>
        <v>217.75</v>
      </c>
    </row>
    <row r="25" spans="1:47" x14ac:dyDescent="0.25">
      <c r="J25" s="40">
        <v>35</v>
      </c>
      <c r="K25" s="27">
        <f>J25*T25</f>
        <v>35</v>
      </c>
      <c r="L25" s="27">
        <f>(N25-J25)/2</f>
        <v>130</v>
      </c>
      <c r="M25" s="27">
        <f>L25*T25</f>
        <v>130</v>
      </c>
      <c r="N25" s="27">
        <f>IF(MOD(ROUND(ABS(J25*$B$12),0)-J25,2)=0,ROUND(ABS(J25*$B$12),0),ROUND(ABS(J25*$B$12),0)+1)</f>
        <v>295</v>
      </c>
      <c r="O25" s="39">
        <f>N25*T25</f>
        <v>295</v>
      </c>
      <c r="P25" s="27">
        <f>$B$2/($B$3*2*PI())</f>
        <v>26.525823848649225</v>
      </c>
      <c r="Q25" s="27">
        <f>L25/J25</f>
        <v>3.7142857142857144</v>
      </c>
      <c r="R25" s="27">
        <f>MAX(95*COS($B$8*PI()/180)/J25*(($P$4*1000*$B$14)/($B$11*$B$7*$B$10^2)*(Q25+1)/Q25)^(1/3),1.85*($P$4*1000*$B$14*COS($B$8)^2/($B$11*J25^2*$B$7*$B$9))^(1/3))</f>
        <v>0.60238475380930867</v>
      </c>
      <c r="S25" s="27">
        <f>IF(R25&lt;1,1,IF(R25&lt;1.125,1.125,IF(R25&lt;1.375,1.375,IF(R25&lt;1.5,1.5,IF(R25&lt;1.75,1.75,IF(R25&lt;2,2,IF(R25&lt;2.25,2.25,IF(R25&lt;2.5,2.5,IF(R25&lt;2.75,2.75,IF(R25&lt;3,3,IF(R25&lt;3.5,3.5,IF(R25&lt;4,4,"potrebno dodati"))))))))))))</f>
        <v>1</v>
      </c>
      <c r="T25" s="27">
        <f>S25/COS($B$8*PI()/180)</f>
        <v>1</v>
      </c>
      <c r="U25" s="53">
        <f>N25/J25+1</f>
        <v>9.4285714285714288</v>
      </c>
      <c r="V25" s="40">
        <v>35</v>
      </c>
      <c r="W25" s="30">
        <f ca="1">V25*AF25</f>
        <v>48.125</v>
      </c>
      <c r="X25" s="30">
        <f ca="1">(Z25-V25)/2</f>
        <v>61</v>
      </c>
      <c r="Y25" s="30">
        <f ca="1">X25*AF25</f>
        <v>83.875</v>
      </c>
      <c r="Z25" s="30">
        <f ca="1">IF(MOD(ROUND(ABS(V25*$C$12),0)-V25,2)=0,ROUND(ABS(V25*$C$12),0),ROUND(ABS(V25*$C$12),0)+1)</f>
        <v>157</v>
      </c>
      <c r="AA25" s="39">
        <f ca="1">Z25*AF25</f>
        <v>215.875</v>
      </c>
      <c r="AB25" s="30">
        <f ca="1">INDIRECT("U"&amp;($E$17-10))*P25</f>
        <v>249.1120848394884</v>
      </c>
      <c r="AC25" s="30">
        <f ca="1">X25/V25</f>
        <v>1.7428571428571429</v>
      </c>
      <c r="AD25" s="30">
        <f ca="1">MAX(95*COS($C$8*PI()/180)/V25*((AB25*1000*$B$14)/($C$11*$C$7*$C$10^2)*(AC25+1)/AC25)^(1/3),1.85*(AB25*1000*$B$14*COS($C$8)^2/($C$11*V25^2*$C$7*$C$9))^(1/3))</f>
        <v>1.2405186551964622</v>
      </c>
      <c r="AE25" s="30">
        <f ca="1">IF(AD25&lt;1,1,IF(AD25&lt;1.125,1.125,IF(AD25&lt;1.375,1.375,IF(AD25&lt;1.5,1.5,IF(AD25&lt;1.75,1.75,IF(AD25&lt;2,2,IF(AD25&lt;2.25,2.25,IF(AD25&lt;2.5,2.5,IF(AD25&lt;2.75,2.75,IF(AD25&lt;3,3,IF(AD25&lt;3.5,3.5,IF(AD25&lt;4,4,"potrebno dodati"))))))))))))</f>
        <v>1.375</v>
      </c>
      <c r="AF25" s="47">
        <f ca="1">AE25/COS($B$8*PI()/180)</f>
        <v>1.375</v>
      </c>
      <c r="AG25" s="28">
        <f ca="1">Z25/V25+1</f>
        <v>5.4857142857142858</v>
      </c>
      <c r="AH25" s="25">
        <f>$B$15</f>
        <v>240</v>
      </c>
      <c r="AI25" s="25" t="str">
        <f ca="1">IF($B$15-2*$B$5-2*AE25*3&gt;O25,O25,"neo1")</f>
        <v>neo1</v>
      </c>
      <c r="AJ25" s="25">
        <f ca="1">IF($B$15-2*$B$5*AE25&gt;AA25,AA25,"neo2")</f>
        <v>215.875</v>
      </c>
      <c r="AK25">
        <f>L25+2</f>
        <v>132</v>
      </c>
      <c r="AL25">
        <f>(J25+L25)*SIN(PI()/$B$11)</f>
        <v>142.89419162443238</v>
      </c>
      <c r="AM25">
        <f>IF(AK25&lt;AL25,J25,"ne")</f>
        <v>35</v>
      </c>
      <c r="AN25">
        <f ca="1">X25+2</f>
        <v>63</v>
      </c>
      <c r="AO25">
        <f ca="1">(V25+X25)*SIN(PI()/$C$11)</f>
        <v>67.882250993908556</v>
      </c>
      <c r="AP25">
        <f ca="1">IF(AN25&lt;AO25,V25,"ne")</f>
        <v>35</v>
      </c>
      <c r="AQ25">
        <f>IF(MOD((J25+N25),$B$11)=0,J25,"ne1")</f>
        <v>35</v>
      </c>
      <c r="AR25">
        <f ca="1">IF(MOD((V25+Z25),$C$11)=0,V25,"ne1")</f>
        <v>35</v>
      </c>
      <c r="AS25" t="str">
        <f ca="1">IF(AND(AI25=O25,AM25=J25,AQ25=J25),1,"ne")</f>
        <v>ne</v>
      </c>
      <c r="AT25">
        <f ca="1">IF(AND(AJ25=AA25,AP25=V25,AR25=V25),1,"ne")</f>
        <v>1</v>
      </c>
      <c r="AU25">
        <f ca="1">$B$15-2*$B$5-2*AE25*3</f>
        <v>217.75</v>
      </c>
    </row>
    <row r="26" spans="1:47" x14ac:dyDescent="0.25">
      <c r="J26" s="40">
        <v>36</v>
      </c>
      <c r="K26" s="27">
        <f>J26*T26</f>
        <v>36</v>
      </c>
      <c r="L26" s="27">
        <f>(N26-J26)/2</f>
        <v>134</v>
      </c>
      <c r="M26" s="27">
        <f>L26*T26</f>
        <v>134</v>
      </c>
      <c r="N26" s="27">
        <f>IF(MOD(ROUND(ABS(J26*$B$12),0)-J26,2)=0,ROUND(ABS(J26*$B$12),0),ROUND(ABS(J26*$B$12),0)+1)</f>
        <v>304</v>
      </c>
      <c r="O26" s="39">
        <f>N26*T26</f>
        <v>304</v>
      </c>
      <c r="P26" s="27">
        <f>$B$2/($B$3*2*PI())</f>
        <v>26.525823848649225</v>
      </c>
      <c r="Q26" s="27">
        <f>L26/J26</f>
        <v>3.7222222222222223</v>
      </c>
      <c r="R26" s="27">
        <f>MAX(95*COS($B$8*PI()/180)/J26*(($P$4*1000*$B$14)/($B$11*$B$7*$B$10^2)*(Q26+1)/Q26)^(1/3),1.85*($P$4*1000*$B$14*COS($B$8)^2/($B$11*J26^2*$B$7*$B$9))^(1/3))</f>
        <v>0.58556353700707775</v>
      </c>
      <c r="S26" s="27">
        <f>IF(R26&lt;1,1,IF(R26&lt;1.125,1.125,IF(R26&lt;1.375,1.375,IF(R26&lt;1.5,1.5,IF(R26&lt;1.75,1.75,IF(R26&lt;2,2,IF(R26&lt;2.25,2.25,IF(R26&lt;2.5,2.5,IF(R26&lt;2.75,2.75,IF(R26&lt;3,3,IF(R26&lt;3.5,3.5,IF(R26&lt;4,4,"potrebno dodati"))))))))))))</f>
        <v>1</v>
      </c>
      <c r="T26" s="27">
        <f>S26/COS($B$8*PI()/180)</f>
        <v>1</v>
      </c>
      <c r="U26" s="53">
        <f>N26/J26+1</f>
        <v>9.4444444444444446</v>
      </c>
      <c r="V26" s="40">
        <v>36</v>
      </c>
      <c r="W26" s="30">
        <f ca="1">V26*AF26</f>
        <v>49.5</v>
      </c>
      <c r="X26" s="30">
        <f ca="1">(Z26-V26)/2</f>
        <v>63</v>
      </c>
      <c r="Y26" s="30">
        <f ca="1">X26*AF26</f>
        <v>86.625</v>
      </c>
      <c r="Z26" s="30">
        <f ca="1">IF(MOD(ROUND(ABS(V26*$C$12),0)-V26,2)=0,ROUND(ABS(V26*$C$12),0),ROUND(ABS(V26*$C$12),0)+1)</f>
        <v>162</v>
      </c>
      <c r="AA26" s="39">
        <f ca="1">Z26*AF26</f>
        <v>222.75</v>
      </c>
      <c r="AB26" s="30">
        <f ca="1">INDIRECT("U"&amp;($E$17-10))*P26</f>
        <v>249.1120848394884</v>
      </c>
      <c r="AC26" s="30">
        <f ca="1">X26/V26</f>
        <v>1.75</v>
      </c>
      <c r="AD26" s="30">
        <f ca="1">MAX(95*COS($C$8*PI()/180)/V26*((AB26*1000*$B$14)/($C$11*$C$7*$C$10^2)*(AC26+1)/AC26)^(1/3),1.85*(AB26*1000*$B$14*COS($C$8)^2/($C$11*V26^2*$C$7*$C$9))^(1/3))</f>
        <v>1.2054612627194352</v>
      </c>
      <c r="AE26" s="30">
        <f ca="1">IF(AD26&lt;1,1,IF(AD26&lt;1.125,1.125,IF(AD26&lt;1.375,1.375,IF(AD26&lt;1.5,1.5,IF(AD26&lt;1.75,1.75,IF(AD26&lt;2,2,IF(AD26&lt;2.25,2.25,IF(AD26&lt;2.5,2.5,IF(AD26&lt;2.75,2.75,IF(AD26&lt;3,3,IF(AD26&lt;3.5,3.5,IF(AD26&lt;4,4,"potrebno dodati"))))))))))))</f>
        <v>1.375</v>
      </c>
      <c r="AF26" s="47">
        <f ca="1">AE26/COS($B$8*PI()/180)</f>
        <v>1.375</v>
      </c>
      <c r="AG26" s="28">
        <f ca="1">Z26/V26+1</f>
        <v>5.5</v>
      </c>
      <c r="AH26" s="25">
        <f>$B$15</f>
        <v>240</v>
      </c>
      <c r="AI26" s="25" t="str">
        <f ca="1">IF($B$15-2*$B$5-2*AE26*3&gt;O26,O26,"neo1")</f>
        <v>neo1</v>
      </c>
      <c r="AJ26" s="25" t="str">
        <f ca="1">IF($B$15-2*$B$5*AE26&gt;AA26,AA26,"neo2")</f>
        <v>neo2</v>
      </c>
      <c r="AK26">
        <f>L26+2</f>
        <v>136</v>
      </c>
      <c r="AL26">
        <f>(J26+L26)*SIN(PI()/$B$11)</f>
        <v>147.22431864335456</v>
      </c>
      <c r="AM26">
        <f>IF(AK26&lt;AL26,J26,"ne")</f>
        <v>36</v>
      </c>
      <c r="AN26">
        <f ca="1">X26+2</f>
        <v>65</v>
      </c>
      <c r="AO26">
        <f ca="1">(V26+X26)*SIN(PI()/$C$11)</f>
        <v>70.003571337468202</v>
      </c>
      <c r="AP26">
        <f ca="1">IF(AN26&lt;AO26,V26,"ne")</f>
        <v>36</v>
      </c>
      <c r="AQ26" t="str">
        <f>IF(MOD((J26+N26),$B$11)=0,J26,"ne1")</f>
        <v>ne1</v>
      </c>
      <c r="AR26" t="str">
        <f ca="1">IF(MOD((V26+Z26),$C$11)=0,V26,"ne1")</f>
        <v>ne1</v>
      </c>
      <c r="AS26" t="str">
        <f ca="1">IF(AND(AI26=O26,AM26=J26,AQ26=J26),1,"ne")</f>
        <v>ne</v>
      </c>
      <c r="AT26" t="str">
        <f ca="1">IF(AND(AJ26=AA26,AP26=V26,AR26=V26),1,"ne")</f>
        <v>ne</v>
      </c>
      <c r="AU26">
        <f ca="1">$B$15-2*$B$5-2*AE26*3</f>
        <v>217.75</v>
      </c>
    </row>
    <row r="27" spans="1:47" x14ac:dyDescent="0.25">
      <c r="J27" s="40">
        <v>37</v>
      </c>
      <c r="K27" s="27">
        <f>J27*T27</f>
        <v>37</v>
      </c>
      <c r="L27" s="27">
        <f>(N27-J27)/2</f>
        <v>137</v>
      </c>
      <c r="M27" s="27">
        <f>L27*T27</f>
        <v>137</v>
      </c>
      <c r="N27" s="27">
        <f>IF(MOD(ROUND(ABS(J27*$B$12),0)-J27,2)=0,ROUND(ABS(J27*$B$12),0),ROUND(ABS(J27*$B$12),0)+1)</f>
        <v>311</v>
      </c>
      <c r="O27" s="39">
        <f>N27*T27</f>
        <v>311</v>
      </c>
      <c r="P27" s="27">
        <f>$B$2/($B$3*2*PI())</f>
        <v>26.525823848649225</v>
      </c>
      <c r="Q27" s="27">
        <f>L27/J27</f>
        <v>3.7027027027027026</v>
      </c>
      <c r="R27" s="27">
        <f>MAX(95*COS($B$8*PI()/180)/J27*(($P$4*1000*$B$14)/($B$11*$B$7*$B$10^2)*(Q27+1)/Q27)^(1/3),1.85*($P$4*1000*$B$14*COS($B$8)^2/($B$11*J27^2*$B$7*$B$9))^(1/3))</f>
        <v>0.56994942713980834</v>
      </c>
      <c r="S27" s="27">
        <f>IF(R27&lt;1,1,IF(R27&lt;1.125,1.125,IF(R27&lt;1.375,1.375,IF(R27&lt;1.5,1.5,IF(R27&lt;1.75,1.75,IF(R27&lt;2,2,IF(R27&lt;2.25,2.25,IF(R27&lt;2.5,2.5,IF(R27&lt;2.75,2.75,IF(R27&lt;3,3,IF(R27&lt;3.5,3.5,IF(R27&lt;4,4,"potrebno dodati"))))))))))))</f>
        <v>1</v>
      </c>
      <c r="T27" s="27">
        <f>S27/COS($B$8*PI()/180)</f>
        <v>1</v>
      </c>
      <c r="U27" s="53">
        <f>N27/J27+1</f>
        <v>9.4054054054054053</v>
      </c>
      <c r="V27" s="40">
        <v>37</v>
      </c>
      <c r="W27" s="30">
        <f ca="1">V27*AF27</f>
        <v>50.875</v>
      </c>
      <c r="X27" s="30">
        <f ca="1">(Z27-V27)/2</f>
        <v>65</v>
      </c>
      <c r="Y27" s="30">
        <f ca="1">X27*AF27</f>
        <v>89.375</v>
      </c>
      <c r="Z27" s="30">
        <f ca="1">IF(MOD(ROUND(ABS(V27*$C$12),0)-V27,2)=0,ROUND(ABS(V27*$C$12),0),ROUND(ABS(V27*$C$12),0)+1)</f>
        <v>167</v>
      </c>
      <c r="AA27" s="39">
        <f ca="1">Z27*AF27</f>
        <v>229.625</v>
      </c>
      <c r="AB27" s="30">
        <f ca="1">INDIRECT("U"&amp;($E$17-10))*P27</f>
        <v>249.1120848394884</v>
      </c>
      <c r="AC27" s="30">
        <f ca="1">X27/V27</f>
        <v>1.7567567567567568</v>
      </c>
      <c r="AD27" s="30">
        <f ca="1">MAX(95*COS($C$8*PI()/180)/V27*((AB27*1000*$B$14)/($C$11*$C$7*$C$10^2)*(AC27+1)/AC27)^(1/3),1.85*(AB27*1000*$B$14*COS($C$8)^2/($C$11*V27^2*$C$7*$C$9))^(1/3))</f>
        <v>1.172334175700682</v>
      </c>
      <c r="AE27" s="30">
        <f ca="1">IF(AD27&lt;1,1,IF(AD27&lt;1.125,1.125,IF(AD27&lt;1.375,1.375,IF(AD27&lt;1.5,1.5,IF(AD27&lt;1.75,1.75,IF(AD27&lt;2,2,IF(AD27&lt;2.25,2.25,IF(AD27&lt;2.5,2.5,IF(AD27&lt;2.75,2.75,IF(AD27&lt;3,3,IF(AD27&lt;3.5,3.5,IF(AD27&lt;4,4,"potrebno dodati"))))))))))))</f>
        <v>1.375</v>
      </c>
      <c r="AF27" s="47">
        <f ca="1">AE27/COS($B$8*PI()/180)</f>
        <v>1.375</v>
      </c>
      <c r="AG27" s="28">
        <f ca="1">Z27/V27+1</f>
        <v>5.5135135135135132</v>
      </c>
      <c r="AH27" s="25">
        <f>$B$15</f>
        <v>240</v>
      </c>
      <c r="AI27" s="25" t="str">
        <f ca="1">IF($B$15-2*$B$5-2*AE27*3&gt;O27,O27,"neo1")</f>
        <v>neo1</v>
      </c>
      <c r="AJ27" s="25" t="str">
        <f ca="1">IF($B$15-2*$B$5*AE27&gt;AA27,AA27,"neo2")</f>
        <v>neo2</v>
      </c>
      <c r="AK27">
        <f>L27+2</f>
        <v>139</v>
      </c>
      <c r="AL27">
        <f>(J27+L27)*SIN(PI()/$B$11)</f>
        <v>150.68842025849233</v>
      </c>
      <c r="AM27">
        <f>IF(AK27&lt;AL27,J27,"ne")</f>
        <v>37</v>
      </c>
      <c r="AN27">
        <f ca="1">X27+2</f>
        <v>67</v>
      </c>
      <c r="AO27">
        <f ca="1">(V27+X27)*SIN(PI()/$C$11)</f>
        <v>72.124891681027847</v>
      </c>
      <c r="AP27">
        <f ca="1">IF(AN27&lt;AO27,V27,"ne")</f>
        <v>37</v>
      </c>
      <c r="AQ27">
        <f>IF(MOD((J27+N27),$B$11)=0,J27,"ne1")</f>
        <v>37</v>
      </c>
      <c r="AR27">
        <f ca="1">IF(MOD((V27+Z27),$C$11)=0,V27,"ne1")</f>
        <v>37</v>
      </c>
      <c r="AS27" t="str">
        <f ca="1">IF(AND(AI27=O27,AM27=J27,AQ27=J27),1,"ne")</f>
        <v>ne</v>
      </c>
      <c r="AT27" t="str">
        <f ca="1">IF(AND(AJ27=AA27,AP27=V27,AR27=V27),1,"ne")</f>
        <v>ne</v>
      </c>
      <c r="AU27">
        <f ca="1">$B$15-2*$B$5-2*AE27*3</f>
        <v>217.75</v>
      </c>
    </row>
    <row r="28" spans="1:47" x14ac:dyDescent="0.25">
      <c r="J28" s="40">
        <v>38</v>
      </c>
      <c r="K28" s="27">
        <f>J28*T28</f>
        <v>38</v>
      </c>
      <c r="L28" s="27">
        <f>(N28-J28)/2</f>
        <v>141</v>
      </c>
      <c r="M28" s="27">
        <f>L28*T28</f>
        <v>141</v>
      </c>
      <c r="N28" s="27">
        <f>IF(MOD(ROUND(ABS(J28*$B$12),0)-J28,2)=0,ROUND(ABS(J28*$B$12),0),ROUND(ABS(J28*$B$12),0)+1)</f>
        <v>320</v>
      </c>
      <c r="O28" s="39">
        <f>N28*T28</f>
        <v>320</v>
      </c>
      <c r="P28" s="27">
        <f>$B$2/($B$3*2*PI())</f>
        <v>26.525823848649225</v>
      </c>
      <c r="Q28" s="27">
        <f>L28/J28</f>
        <v>3.7105263157894739</v>
      </c>
      <c r="R28" s="27">
        <f>MAX(95*COS($B$8*PI()/180)/J28*(($P$4*1000*$B$14)/($B$11*$B$7*$B$10^2)*(Q28+1)/Q28)^(1/3),1.85*($P$4*1000*$B$14*COS($B$8)^2/($B$11*J28^2*$B$7*$B$9))^(1/3))</f>
        <v>0.55486780684980341</v>
      </c>
      <c r="S28" s="27">
        <f>IF(R28&lt;1,1,IF(R28&lt;1.125,1.125,IF(R28&lt;1.375,1.375,IF(R28&lt;1.5,1.5,IF(R28&lt;1.75,1.75,IF(R28&lt;2,2,IF(R28&lt;2.25,2.25,IF(R28&lt;2.5,2.5,IF(R28&lt;2.75,2.75,IF(R28&lt;3,3,IF(R28&lt;3.5,3.5,IF(R28&lt;4,4,"potrebno dodati"))))))))))))</f>
        <v>1</v>
      </c>
      <c r="T28" s="27">
        <f>S28/COS($B$8*PI()/180)</f>
        <v>1</v>
      </c>
      <c r="U28" s="53">
        <f>N28/J28+1</f>
        <v>9.4210526315789469</v>
      </c>
      <c r="V28" s="40">
        <v>38</v>
      </c>
      <c r="W28" s="30">
        <f ca="1">V28*AF28</f>
        <v>52.25</v>
      </c>
      <c r="X28" s="30">
        <f ca="1">(Z28-V28)/2</f>
        <v>67</v>
      </c>
      <c r="Y28" s="30">
        <f ca="1">X28*AF28</f>
        <v>92.125</v>
      </c>
      <c r="Z28" s="30">
        <f ca="1">IF(MOD(ROUND(ABS(V28*$C$12),0)-V28,2)=0,ROUND(ABS(V28*$C$12),0),ROUND(ABS(V28*$C$12),0)+1)</f>
        <v>172</v>
      </c>
      <c r="AA28" s="39">
        <f ca="1">Z28*AF28</f>
        <v>236.5</v>
      </c>
      <c r="AB28" s="30">
        <f ca="1">INDIRECT("U"&amp;($E$17-10))*P28</f>
        <v>249.1120848394884</v>
      </c>
      <c r="AC28" s="30">
        <f ca="1">X28/V28</f>
        <v>1.763157894736842</v>
      </c>
      <c r="AD28" s="30">
        <f ca="1">MAX(95*COS($C$8*PI()/180)/V28*((AB28*1000*$B$14)/($C$11*$C$7*$C$10^2)*(AC28+1)/AC28)^(1/3),1.85*(AB28*1000*$B$14*COS($C$8)^2/($C$11*V28^2*$C$7*$C$9))^(1/3))</f>
        <v>1.1409819660972096</v>
      </c>
      <c r="AE28" s="30">
        <f ca="1">IF(AD28&lt;1,1,IF(AD28&lt;1.125,1.125,IF(AD28&lt;1.375,1.375,IF(AD28&lt;1.5,1.5,IF(AD28&lt;1.75,1.75,IF(AD28&lt;2,2,IF(AD28&lt;2.25,2.25,IF(AD28&lt;2.5,2.5,IF(AD28&lt;2.75,2.75,IF(AD28&lt;3,3,IF(AD28&lt;3.5,3.5,IF(AD28&lt;4,4,"potrebno dodati"))))))))))))</f>
        <v>1.375</v>
      </c>
      <c r="AF28" s="47">
        <f ca="1">AE28/COS($B$8*PI()/180)</f>
        <v>1.375</v>
      </c>
      <c r="AG28" s="28">
        <f ca="1">Z28/V28+1</f>
        <v>5.5263157894736841</v>
      </c>
      <c r="AH28" s="25">
        <f>$B$15</f>
        <v>240</v>
      </c>
      <c r="AI28" s="25" t="str">
        <f ca="1">IF($B$15-2*$B$5-2*AE28*3&gt;O28,O28,"neo1")</f>
        <v>neo1</v>
      </c>
      <c r="AJ28" s="25" t="str">
        <f ca="1">IF($B$15-2*$B$5*AE28&gt;AA28,AA28,"neo2")</f>
        <v>neo2</v>
      </c>
      <c r="AK28">
        <f>L28+2</f>
        <v>143</v>
      </c>
      <c r="AL28">
        <f>(J28+L28)*SIN(PI()/$B$11)</f>
        <v>155.01854727741451</v>
      </c>
      <c r="AM28">
        <f>IF(AK28&lt;AL28,J28,"ne")</f>
        <v>38</v>
      </c>
      <c r="AN28">
        <f ca="1">X28+2</f>
        <v>69</v>
      </c>
      <c r="AO28">
        <f ca="1">(V28+X28)*SIN(PI()/$C$11)</f>
        <v>74.246212024587479</v>
      </c>
      <c r="AP28">
        <f ca="1">IF(AN28&lt;AO28,V28,"ne")</f>
        <v>38</v>
      </c>
      <c r="AQ28" t="str">
        <f>IF(MOD((J28+N28),$B$11)=0,J28,"ne1")</f>
        <v>ne1</v>
      </c>
      <c r="AR28" t="str">
        <f ca="1">IF(MOD((V28+Z28),$C$11)=0,V28,"ne1")</f>
        <v>ne1</v>
      </c>
      <c r="AS28" t="str">
        <f ca="1">IF(AND(AI28=O28,AM28=J28,AQ28=J28),1,"ne")</f>
        <v>ne</v>
      </c>
      <c r="AT28" t="str">
        <f ca="1">IF(AND(AJ28=AA28,AP28=V28,AR28=V28),1,"ne")</f>
        <v>ne</v>
      </c>
      <c r="AU28">
        <f ca="1">$B$15-2*$B$5-2*AE28*3</f>
        <v>217.75</v>
      </c>
    </row>
    <row r="29" spans="1:47" x14ac:dyDescent="0.25">
      <c r="E29">
        <v>10</v>
      </c>
      <c r="J29" s="40">
        <v>39</v>
      </c>
      <c r="K29" s="27">
        <f>J29*T29</f>
        <v>39</v>
      </c>
      <c r="L29" s="27">
        <f>(N29-J29)/2</f>
        <v>145</v>
      </c>
      <c r="M29" s="27">
        <f>L29*T29</f>
        <v>145</v>
      </c>
      <c r="N29" s="27">
        <f>IF(MOD(ROUND(ABS(J29*$B$12),0)-J29,2)=0,ROUND(ABS(J29*$B$12),0),ROUND(ABS(J29*$B$12),0)+1)</f>
        <v>329</v>
      </c>
      <c r="O29" s="39">
        <f>N29*T29</f>
        <v>329</v>
      </c>
      <c r="P29" s="27">
        <f>$B$2/($B$3*2*PI())</f>
        <v>26.525823848649225</v>
      </c>
      <c r="Q29" s="27">
        <f>L29/J29</f>
        <v>3.7179487179487181</v>
      </c>
      <c r="R29" s="27">
        <f>MAX(95*COS($B$8*PI()/180)/J29*(($P$4*1000*$B$14)/($B$11*$B$7*$B$10^2)*(Q29+1)/Q29)^(1/3),1.85*($P$4*1000*$B$14*COS($B$8)^2/($B$11*J29^2*$B$7*$B$9))^(1/3))</f>
        <v>0.54056404004209857</v>
      </c>
      <c r="S29" s="27">
        <f>IF(R29&lt;1,1,IF(R29&lt;1.125,1.125,IF(R29&lt;1.375,1.375,IF(R29&lt;1.5,1.5,IF(R29&lt;1.75,1.75,IF(R29&lt;2,2,IF(R29&lt;2.25,2.25,IF(R29&lt;2.5,2.5,IF(R29&lt;2.75,2.75,IF(R29&lt;3,3,IF(R29&lt;3.5,3.5,IF(R29&lt;4,4,"potrebno dodati"))))))))))))</f>
        <v>1</v>
      </c>
      <c r="T29" s="27">
        <f>S29/COS($B$8*PI()/180)</f>
        <v>1</v>
      </c>
      <c r="U29" s="53">
        <f>N29/J29+1</f>
        <v>9.4358974358974361</v>
      </c>
      <c r="V29" s="40">
        <v>39</v>
      </c>
      <c r="W29" s="30">
        <f ca="1">V29*AF29</f>
        <v>43.875</v>
      </c>
      <c r="X29" s="30">
        <f ca="1">(Z29-V29)/2</f>
        <v>68</v>
      </c>
      <c r="Y29" s="30">
        <f ca="1">X29*AF29</f>
        <v>76.5</v>
      </c>
      <c r="Z29" s="30">
        <f ca="1">IF(MOD(ROUND(ABS(V29*$C$12),0)-V29,2)=0,ROUND(ABS(V29*$C$12),0),ROUND(ABS(V29*$C$12),0)+1)</f>
        <v>175</v>
      </c>
      <c r="AA29" s="39">
        <f ca="1">Z29*AF29</f>
        <v>196.875</v>
      </c>
      <c r="AB29" s="30">
        <f ca="1">INDIRECT("U"&amp;($E$17-10))*P29</f>
        <v>249.1120848394884</v>
      </c>
      <c r="AC29" s="30">
        <f ca="1">X29/V29</f>
        <v>1.7435897435897436</v>
      </c>
      <c r="AD29" s="30">
        <f ca="1">MAX(95*COS($C$8*PI()/180)/V29*((AB29*1000*$B$14)/($C$11*$C$7*$C$10^2)*(AC29+1)/AC29)^(1/3),1.85*(AB29*1000*$B$14*COS($C$8)^2/($C$11*V29^2*$C$7*$C$9))^(1/3))</f>
        <v>1.1132291229990479</v>
      </c>
      <c r="AE29" s="30">
        <f ca="1">IF(AD29&lt;1,1,IF(AD29&lt;1.125,1.125,IF(AD29&lt;1.375,1.375,IF(AD29&lt;1.5,1.5,IF(AD29&lt;1.75,1.75,IF(AD29&lt;2,2,IF(AD29&lt;2.25,2.25,IF(AD29&lt;2.5,2.5,IF(AD29&lt;2.75,2.75,IF(AD29&lt;3,3,IF(AD29&lt;3.5,3.5,IF(AD29&lt;4,4,"potrebno dodati"))))))))))))</f>
        <v>1.125</v>
      </c>
      <c r="AF29" s="47">
        <f ca="1">AE29/COS($B$8*PI()/180)</f>
        <v>1.125</v>
      </c>
      <c r="AG29" s="28">
        <f ca="1">Z29/V29+1</f>
        <v>5.4871794871794872</v>
      </c>
      <c r="AH29" s="25">
        <f>$B$15</f>
        <v>240</v>
      </c>
      <c r="AI29" s="25" t="str">
        <f ca="1">IF($B$15-2*$B$5-2*AE29*3&gt;O29,O29,"neo1")</f>
        <v>neo1</v>
      </c>
      <c r="AJ29" s="25">
        <f ca="1">IF($B$15-2*$B$5*AE29&gt;AA29,AA29,"neo2")</f>
        <v>196.875</v>
      </c>
      <c r="AK29">
        <f>L29+2</f>
        <v>147</v>
      </c>
      <c r="AL29">
        <f>(J29+L29)*SIN(PI()/$B$11)</f>
        <v>159.3486742963367</v>
      </c>
      <c r="AM29">
        <f>IF(AK29&lt;AL29,J29,"ne")</f>
        <v>39</v>
      </c>
      <c r="AN29">
        <f ca="1">X29+2</f>
        <v>70</v>
      </c>
      <c r="AO29">
        <f ca="1">(V29+X29)*SIN(PI()/$C$11)</f>
        <v>75.660425586960585</v>
      </c>
      <c r="AP29">
        <f ca="1">IF(AN29&lt;AO29,V29,"ne")</f>
        <v>39</v>
      </c>
      <c r="AQ29" t="str">
        <f>IF(MOD((J29+N29),$B$11)=0,J29,"ne1")</f>
        <v>ne1</v>
      </c>
      <c r="AR29" t="str">
        <f ca="1">IF(MOD((V29+Z29),$C$11)=0,V29,"ne1")</f>
        <v>ne1</v>
      </c>
      <c r="AS29" t="str">
        <f ca="1">IF(AND(AI29=O29,AM29=J29,AQ29=J29),1,"ne")</f>
        <v>ne</v>
      </c>
      <c r="AT29" t="str">
        <f ca="1">IF(AND(AJ29=AA29,AP29=V29,AR29=V29),1,"ne")</f>
        <v>ne</v>
      </c>
      <c r="AU29">
        <f ca="1">$B$15-2*$B$5-2*AE29*3</f>
        <v>219.25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>J30*T30</f>
        <v>40</v>
      </c>
      <c r="L30" s="55">
        <f>(N30-J30)/2</f>
        <v>148</v>
      </c>
      <c r="M30" s="55">
        <f>L30*T30</f>
        <v>148</v>
      </c>
      <c r="N30" s="55">
        <f>IF(MOD(ROUND(ABS(J30*$B$12),0)-J30,2)=0,ROUND(ABS(J30*$B$12),0),ROUND(ABS(J30*$B$12),0)+1)</f>
        <v>336</v>
      </c>
      <c r="O30" s="56">
        <f>N30*T30</f>
        <v>336</v>
      </c>
      <c r="P30" s="27">
        <f>$B$2/($B$3*2*PI())</f>
        <v>26.525823848649225</v>
      </c>
      <c r="Q30" s="55">
        <f>L30/J30</f>
        <v>3.7</v>
      </c>
      <c r="R30" s="55">
        <f>MAX(95*COS($B$8*PI()/180)/J30*(($P$4*1000*$B$14)/($B$11*$B$7*$B$10^2)*(Q30+1)/Q30)^(1/3),1.85*($P$4*1000*$B$14*COS($B$8)^2/($B$11*J30^2*$B$7*$B$9))^(1/3))</f>
        <v>0.52723051511965002</v>
      </c>
      <c r="S30" s="55">
        <f>IF(R30&lt;1,1,IF(R30&lt;1.125,1.125,IF(R30&lt;1.375,1.375,IF(R30&lt;1.5,1.5,IF(R30&lt;1.75,1.75,IF(R30&lt;2,2,IF(R30&lt;2.25,2.25,IF(R30&lt;2.5,2.5,IF(R30&lt;2.75,2.75,IF(R30&lt;3,3,IF(R30&lt;3.5,3.5,IF(R30&lt;4,4,"potrebno dodati"))))))))))))</f>
        <v>1</v>
      </c>
      <c r="T30" s="55">
        <f>S30/COS($B$8*PI()/180)</f>
        <v>1</v>
      </c>
      <c r="U30" s="57">
        <f>N30/J30+1</f>
        <v>9.4</v>
      </c>
      <c r="V30" s="54">
        <v>40</v>
      </c>
      <c r="W30" s="41">
        <f ca="1">V30*AF30</f>
        <v>45</v>
      </c>
      <c r="X30" s="41">
        <f ca="1">(Z30-V30)/2</f>
        <v>70</v>
      </c>
      <c r="Y30" s="41">
        <f ca="1">X30*AF30</f>
        <v>78.75</v>
      </c>
      <c r="Z30" s="41">
        <f ca="1">IF(MOD(ROUND(ABS(V30*$C$12),0)-V30,2)=0,ROUND(ABS(V30*$C$12),0),ROUND(ABS(V30*$C$12),0)+1)</f>
        <v>180</v>
      </c>
      <c r="AA30" s="56">
        <f ca="1">Z30*AF30</f>
        <v>202.5</v>
      </c>
      <c r="AB30" s="30">
        <f ca="1">INDIRECT("U"&amp;($E$17-10))*P30</f>
        <v>249.1120848394884</v>
      </c>
      <c r="AC30" s="41">
        <f ca="1">X30/V30</f>
        <v>1.75</v>
      </c>
      <c r="AD30" s="41">
        <f ca="1">MAX(95*COS($C$8*PI()/180)/V30*((AB30*1000*$B$14)/($C$11*$C$7*$C$10^2)*(AC30+1)/AC30)^(1/3),1.85*(AB30*1000*$B$14*COS($C$8)^2/($C$11*V30^2*$C$7*$C$9))^(1/3))</f>
        <v>1.0849151364474916</v>
      </c>
      <c r="AE30" s="41">
        <f ca="1">IF(AD30&lt;1,1,IF(AD30&lt;1.125,1.125,IF(AD30&lt;1.375,1.375,IF(AD30&lt;1.5,1.5,IF(AD30&lt;1.75,1.75,IF(AD30&lt;2,2,IF(AD30&lt;2.25,2.25,IF(AD30&lt;2.5,2.5,IF(AD30&lt;2.75,2.75,IF(AD30&lt;3,3,IF(AD30&lt;3.5,3.5,IF(AD30&lt;4,4,"potrebno dodati"))))))))))))</f>
        <v>1.125</v>
      </c>
      <c r="AF30" s="59">
        <f ca="1">AE30/COS($B$8*PI()/180)</f>
        <v>1.125</v>
      </c>
      <c r="AG30" s="29">
        <f ca="1">Z30/V30+1</f>
        <v>5.5</v>
      </c>
      <c r="AH30" s="25">
        <f>$B$15</f>
        <v>240</v>
      </c>
      <c r="AI30" s="25" t="str">
        <f ca="1">IF($B$15-2*$B$5-2*AE30*3&gt;O30,O30,"neo1")</f>
        <v>neo1</v>
      </c>
      <c r="AJ30" s="25">
        <f ca="1">IF($B$15-2*$B$5*AE30&gt;AA30,AA30,"neo2")</f>
        <v>202.5</v>
      </c>
      <c r="AK30">
        <f>L30+2</f>
        <v>150</v>
      </c>
      <c r="AL30">
        <f>(J30+L30)*SIN(PI()/$B$11)</f>
        <v>162.81277591147446</v>
      </c>
      <c r="AM30">
        <f>IF(AK30&lt;AL30,J30,"ne")</f>
        <v>40</v>
      </c>
      <c r="AN30">
        <f ca="1">X30+2</f>
        <v>72</v>
      </c>
      <c r="AO30">
        <f ca="1">(V30+X30)*SIN(PI()/$C$11)</f>
        <v>77.781745930520216</v>
      </c>
      <c r="AP30">
        <f ca="1">IF(AN30&lt;AO30,V30,"ne")</f>
        <v>40</v>
      </c>
      <c r="AQ30" t="str">
        <f>IF(MOD((J30+N30),$B$11)=0,J30,"ne1")</f>
        <v>ne1</v>
      </c>
      <c r="AR30">
        <f ca="1">IF(MOD((V30+Z30),$C$11)=0,V30,"ne1")</f>
        <v>40</v>
      </c>
      <c r="AS30" t="str">
        <f ca="1">IF(AND(AI30=O30,AM30=J30,AQ30=J30),1,"ne")</f>
        <v>ne</v>
      </c>
      <c r="AT30">
        <f ca="1">IF(AND(AJ30=AA30,AP30=V30,AR30=V30),1,"ne")</f>
        <v>1</v>
      </c>
      <c r="AU30">
        <f ca="1">$B$15-2*$B$5-2*AE30*3</f>
        <v>219.25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13" priority="2">
      <formula>$AT4=1</formula>
    </cfRule>
  </conditionalFormatting>
  <conditionalFormatting sqref="C19">
    <cfRule type="cellIs" dxfId="12" priority="42" operator="greaterThan">
      <formula>$B$10-2*(5+2.25*$K$17)</formula>
    </cfRule>
  </conditionalFormatting>
  <conditionalFormatting sqref="H17">
    <cfRule type="cellIs" dxfId="11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zoomScaleNormal="100" workbookViewId="0">
      <selection activeCell="J7" sqref="J7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220" t="s">
        <v>77</v>
      </c>
      <c r="B1" s="221"/>
      <c r="C1" s="221"/>
      <c r="D1" s="222"/>
      <c r="E1" s="220" t="s">
        <v>15</v>
      </c>
      <c r="F1" s="221"/>
      <c r="G1" s="221"/>
      <c r="H1" s="222"/>
    </row>
    <row r="2" spans="1:10" ht="15.75" thickTop="1" x14ac:dyDescent="0.25">
      <c r="A2" s="162" t="s">
        <v>51</v>
      </c>
      <c r="B2" s="163" t="s">
        <v>50</v>
      </c>
      <c r="C2" s="129"/>
      <c r="D2" s="136"/>
      <c r="E2" s="164" t="s">
        <v>51</v>
      </c>
      <c r="F2" s="163" t="s">
        <v>50</v>
      </c>
      <c r="G2" s="129"/>
      <c r="H2" s="136"/>
    </row>
    <row r="3" spans="1:10" x14ac:dyDescent="0.25">
      <c r="A3" s="131" t="s">
        <v>44</v>
      </c>
      <c r="B3" s="20">
        <v>20</v>
      </c>
      <c r="C3" s="119" t="s">
        <v>7</v>
      </c>
      <c r="D3" s="132"/>
      <c r="E3" s="154" t="s">
        <v>44</v>
      </c>
      <c r="F3" s="20">
        <v>40</v>
      </c>
      <c r="G3" s="119" t="s">
        <v>7</v>
      </c>
      <c r="H3" s="132"/>
    </row>
    <row r="4" spans="1:10" x14ac:dyDescent="0.25">
      <c r="A4" s="131" t="s">
        <v>164</v>
      </c>
      <c r="B4" s="106">
        <f ca="1">B3/C13</f>
        <v>0.86956521739130432</v>
      </c>
      <c r="C4" s="119"/>
      <c r="D4" s="132"/>
      <c r="E4" s="154" t="s">
        <v>164</v>
      </c>
      <c r="F4" s="106">
        <f ca="1">F3/G13</f>
        <v>0.83116883116883122</v>
      </c>
      <c r="G4" s="119"/>
      <c r="H4" s="132"/>
    </row>
    <row r="5" spans="1:10" x14ac:dyDescent="0.25">
      <c r="A5" s="196" t="s">
        <v>165</v>
      </c>
      <c r="B5" s="106">
        <f>Korak_2!B8</f>
        <v>0</v>
      </c>
      <c r="C5" s="120" t="s">
        <v>54</v>
      </c>
      <c r="D5" s="132"/>
      <c r="E5" s="196" t="s">
        <v>165</v>
      </c>
      <c r="F5" s="106">
        <f>Korak_2!C8</f>
        <v>0</v>
      </c>
      <c r="G5" s="119" t="s">
        <v>54</v>
      </c>
      <c r="H5" s="132"/>
    </row>
    <row r="6" spans="1:10" ht="15.75" x14ac:dyDescent="0.25">
      <c r="A6" s="133" t="s">
        <v>46</v>
      </c>
      <c r="B6" s="193">
        <f>Korak_2!B9</f>
        <v>360</v>
      </c>
      <c r="C6" s="119" t="s">
        <v>53</v>
      </c>
      <c r="D6" s="132"/>
      <c r="E6" s="155" t="s">
        <v>46</v>
      </c>
      <c r="F6" s="194">
        <f>Korak_2!C9</f>
        <v>360</v>
      </c>
      <c r="G6" s="119" t="s">
        <v>53</v>
      </c>
      <c r="H6" s="132"/>
      <c r="J6" s="48"/>
    </row>
    <row r="7" spans="1:10" ht="15.75" x14ac:dyDescent="0.25">
      <c r="A7" s="133" t="s">
        <v>47</v>
      </c>
      <c r="B7" s="194">
        <f>Korak_2!B10</f>
        <v>1170</v>
      </c>
      <c r="C7" s="129" t="s">
        <v>53</v>
      </c>
      <c r="D7" s="132"/>
      <c r="E7" s="155" t="s">
        <v>47</v>
      </c>
      <c r="F7" s="194">
        <f>Korak_2!C10</f>
        <v>1170</v>
      </c>
      <c r="G7" s="119" t="s">
        <v>53</v>
      </c>
      <c r="H7" s="132"/>
    </row>
    <row r="8" spans="1:10" x14ac:dyDescent="0.25">
      <c r="A8" s="131" t="s">
        <v>154</v>
      </c>
      <c r="B8" s="20">
        <v>4</v>
      </c>
      <c r="C8" s="119"/>
      <c r="D8" s="132"/>
      <c r="E8" s="154" t="s">
        <v>154</v>
      </c>
      <c r="F8" s="20">
        <v>3</v>
      </c>
      <c r="G8" s="119"/>
      <c r="H8" s="132"/>
    </row>
    <row r="9" spans="1:10" x14ac:dyDescent="0.25">
      <c r="A9" s="131" t="s">
        <v>42</v>
      </c>
      <c r="B9" s="106">
        <f>Korak_2!B11</f>
        <v>3</v>
      </c>
      <c r="C9" s="119"/>
      <c r="D9" s="132"/>
      <c r="E9" s="154" t="s">
        <v>42</v>
      </c>
      <c r="F9" s="106">
        <f>Korak_2!C11</f>
        <v>4</v>
      </c>
      <c r="G9" s="119"/>
      <c r="H9" s="132"/>
    </row>
    <row r="10" spans="1:10" x14ac:dyDescent="0.25">
      <c r="A10" s="131" t="s">
        <v>52</v>
      </c>
      <c r="B10" s="106">
        <f ca="1">INDIRECT("Korak_2!S"&amp;(INDIRECT("Korak_2!E17")-10))</f>
        <v>1</v>
      </c>
      <c r="C10" s="119"/>
      <c r="D10" s="132"/>
      <c r="E10" s="154" t="s">
        <v>52</v>
      </c>
      <c r="F10" s="106">
        <f ca="1">INDIRECT("Korak_2!AE"&amp;(INDIRECT("Korak_2!F17")-10))</f>
        <v>1.375</v>
      </c>
      <c r="G10" s="119"/>
      <c r="H10" s="132"/>
    </row>
    <row r="11" spans="1:10" x14ac:dyDescent="0.25">
      <c r="A11" s="131" t="s">
        <v>55</v>
      </c>
      <c r="B11" s="106">
        <f ca="1">B10/COS(B5*PI()/180)</f>
        <v>1</v>
      </c>
      <c r="C11" s="105" t="s">
        <v>28</v>
      </c>
      <c r="D11" s="93">
        <f ca="1">B14+B15</f>
        <v>278</v>
      </c>
      <c r="E11" s="154" t="s">
        <v>55</v>
      </c>
      <c r="F11" s="107">
        <f ca="1">F10/COS(F5*PI()/180)</f>
        <v>1.375</v>
      </c>
      <c r="G11" s="105" t="s">
        <v>28</v>
      </c>
      <c r="H11" s="94">
        <f ca="1">F14+F15</f>
        <v>218</v>
      </c>
    </row>
    <row r="12" spans="1:10" x14ac:dyDescent="0.25">
      <c r="A12" s="131"/>
      <c r="B12" s="105" t="s">
        <v>23</v>
      </c>
      <c r="C12" s="105" t="s">
        <v>24</v>
      </c>
      <c r="D12" s="134" t="s">
        <v>25</v>
      </c>
      <c r="E12" s="154"/>
      <c r="F12" s="105" t="s">
        <v>23</v>
      </c>
      <c r="G12" s="105" t="s">
        <v>24</v>
      </c>
      <c r="H12" s="134" t="s">
        <v>25</v>
      </c>
    </row>
    <row r="13" spans="1:10" x14ac:dyDescent="0.25">
      <c r="A13" s="131" t="s">
        <v>20</v>
      </c>
      <c r="B13" s="106">
        <f ca="1">INDIRECT("Korak_2!j"&amp;(INDIRECT("Korak_2!E17")-10))</f>
        <v>23</v>
      </c>
      <c r="C13" s="106">
        <f ca="1">B13*B11</f>
        <v>23</v>
      </c>
      <c r="D13" s="93">
        <f ca="1">C13+2.5*$B$11</f>
        <v>25.5</v>
      </c>
      <c r="E13" s="154" t="s">
        <v>20</v>
      </c>
      <c r="F13" s="106">
        <f ca="1">INDIRECT("Korak_2!v"&amp;(INDIRECT("Korak_2!F17")-10))</f>
        <v>35</v>
      </c>
      <c r="G13" s="106">
        <f ca="1">F13*F11</f>
        <v>48.125</v>
      </c>
      <c r="H13" s="93">
        <f ca="1">G13+2.5*$B$11</f>
        <v>50.625</v>
      </c>
    </row>
    <row r="14" spans="1:10" x14ac:dyDescent="0.25">
      <c r="A14" s="131" t="s">
        <v>21</v>
      </c>
      <c r="B14" s="106">
        <f ca="1">INDIRECT("Korak_2!L"&amp;(INDIRECT("Korak_2!E17")-10))</f>
        <v>85</v>
      </c>
      <c r="C14" s="106">
        <f ca="1">B14*B11</f>
        <v>85</v>
      </c>
      <c r="D14" s="93">
        <f ca="1">C14+2.5*$B$11</f>
        <v>87.5</v>
      </c>
      <c r="E14" s="154" t="s">
        <v>21</v>
      </c>
      <c r="F14" s="106">
        <f ca="1">INDIRECT("Korak_2!x"&amp;(INDIRECT("Korak_2!F17")-10))</f>
        <v>61</v>
      </c>
      <c r="G14" s="106">
        <f ca="1">F14*F11</f>
        <v>83.875</v>
      </c>
      <c r="H14" s="93">
        <f ca="1">G14+2.5*$B$11</f>
        <v>86.375</v>
      </c>
    </row>
    <row r="15" spans="1:10" x14ac:dyDescent="0.25">
      <c r="A15" s="131" t="s">
        <v>29</v>
      </c>
      <c r="B15" s="106">
        <f ca="1">INDIRECT("Korak_2!N"&amp;(INDIRECT("Korak_2!E17")-10))</f>
        <v>193</v>
      </c>
      <c r="C15" s="106">
        <f ca="1">B15*B11</f>
        <v>193</v>
      </c>
      <c r="D15" s="93">
        <f ca="1">C15+2*$B$11</f>
        <v>195</v>
      </c>
      <c r="E15" s="154" t="s">
        <v>29</v>
      </c>
      <c r="F15" s="106">
        <f ca="1">INDIRECT("Korak_2!z"&amp;(INDIRECT("Korak_2!F17")-10))</f>
        <v>157</v>
      </c>
      <c r="G15" s="106">
        <f ca="1">F15*F11</f>
        <v>215.875</v>
      </c>
      <c r="H15" s="93">
        <f ca="1">G15+2*$B$11</f>
        <v>217.875</v>
      </c>
    </row>
    <row r="16" spans="1:10" x14ac:dyDescent="0.25">
      <c r="A16" s="131" t="s">
        <v>17</v>
      </c>
      <c r="B16" s="130">
        <f ca="1">-B15/B13</f>
        <v>-8.3913043478260878</v>
      </c>
      <c r="C16" s="120"/>
      <c r="D16" s="135"/>
      <c r="E16" s="154" t="s">
        <v>17</v>
      </c>
      <c r="F16" s="130">
        <f ca="1">-F15/F13</f>
        <v>-4.4857142857142858</v>
      </c>
      <c r="G16" s="120"/>
      <c r="H16" s="135"/>
    </row>
    <row r="17" spans="1:8" x14ac:dyDescent="0.25">
      <c r="A17" s="131" t="s">
        <v>18</v>
      </c>
      <c r="B17" s="130">
        <f ca="1">1-B16</f>
        <v>9.3913043478260878</v>
      </c>
      <c r="C17" s="129"/>
      <c r="D17" s="136"/>
      <c r="E17" s="154" t="s">
        <v>18</v>
      </c>
      <c r="F17" s="130">
        <f ca="1">1-F16</f>
        <v>5.4857142857142858</v>
      </c>
      <c r="G17" s="129"/>
      <c r="H17" s="136"/>
    </row>
    <row r="18" spans="1:8" ht="15.75" thickBot="1" x14ac:dyDescent="0.3">
      <c r="A18" s="226" t="s">
        <v>30</v>
      </c>
      <c r="B18" s="227"/>
      <c r="C18" s="227"/>
      <c r="D18" s="228"/>
      <c r="E18" s="226" t="s">
        <v>30</v>
      </c>
      <c r="F18" s="227"/>
      <c r="G18" s="227"/>
      <c r="H18" s="228"/>
    </row>
    <row r="19" spans="1:8" ht="15.75" thickTop="1" x14ac:dyDescent="0.25">
      <c r="A19" s="165" t="s">
        <v>32</v>
      </c>
      <c r="B19" s="166">
        <f>Korak_1!C4/(2*PI()*Korak_1!C5)</f>
        <v>26.525823848649225</v>
      </c>
      <c r="C19" s="47" t="s">
        <v>31</v>
      </c>
      <c r="D19" s="167"/>
      <c r="E19" s="168" t="s">
        <v>32</v>
      </c>
      <c r="F19" s="166">
        <f ca="1">B21</f>
        <v>-249.1120848394884</v>
      </c>
      <c r="G19" s="47" t="s">
        <v>31</v>
      </c>
      <c r="H19" s="167"/>
    </row>
    <row r="20" spans="1:8" x14ac:dyDescent="0.25">
      <c r="A20" s="137" t="s">
        <v>33</v>
      </c>
      <c r="B20" s="108">
        <f ca="1">B19*B16*-1</f>
        <v>222.58626099083918</v>
      </c>
      <c r="C20" s="121" t="s">
        <v>31</v>
      </c>
      <c r="D20" s="138"/>
      <c r="E20" s="156" t="s">
        <v>33</v>
      </c>
      <c r="F20" s="108">
        <f ca="1">F19*F16*-1</f>
        <v>-1117.4456377085623</v>
      </c>
      <c r="G20" s="121" t="s">
        <v>31</v>
      </c>
      <c r="H20" s="138"/>
    </row>
    <row r="21" spans="1:8" x14ac:dyDescent="0.25">
      <c r="A21" s="137" t="s">
        <v>34</v>
      </c>
      <c r="B21" s="108">
        <f ca="1">-(1-B16)*B19</f>
        <v>-249.1120848394884</v>
      </c>
      <c r="C21" s="121" t="s">
        <v>31</v>
      </c>
      <c r="D21" s="138"/>
      <c r="E21" s="156" t="s">
        <v>34</v>
      </c>
      <c r="F21" s="108">
        <f ca="1">-(1-F16)*F19</f>
        <v>1366.5577225480506</v>
      </c>
      <c r="G21" s="121" t="s">
        <v>31</v>
      </c>
      <c r="H21" s="138"/>
    </row>
    <row r="22" spans="1:8" ht="15.75" thickBot="1" x14ac:dyDescent="0.3">
      <c r="A22" s="229" t="s">
        <v>35</v>
      </c>
      <c r="B22" s="230"/>
      <c r="C22" s="230"/>
      <c r="D22" s="231"/>
      <c r="E22" s="229" t="s">
        <v>35</v>
      </c>
      <c r="F22" s="230"/>
      <c r="G22" s="230"/>
      <c r="H22" s="231"/>
    </row>
    <row r="23" spans="1:8" ht="15.75" thickTop="1" x14ac:dyDescent="0.25">
      <c r="A23" s="169" t="s">
        <v>36</v>
      </c>
      <c r="B23" s="170">
        <f ca="1">2*B19*1000/($B$9*C13)</f>
        <v>768.86445938113695</v>
      </c>
      <c r="C23" s="171" t="s">
        <v>3</v>
      </c>
      <c r="D23" s="172"/>
      <c r="E23" s="173" t="s">
        <v>36</v>
      </c>
      <c r="F23" s="170">
        <f ca="1">2*F19*1000/($F$9*G13)</f>
        <v>-2588.1775048258537</v>
      </c>
      <c r="G23" s="171" t="s">
        <v>3</v>
      </c>
      <c r="H23" s="172"/>
    </row>
    <row r="24" spans="1:8" x14ac:dyDescent="0.25">
      <c r="A24" s="139" t="s">
        <v>37</v>
      </c>
      <c r="B24" s="109">
        <f ca="1">2*B20*1000/($B$9*C15)</f>
        <v>768.86445938113707</v>
      </c>
      <c r="C24" s="122" t="s">
        <v>3</v>
      </c>
      <c r="D24" s="140"/>
      <c r="E24" s="157" t="s">
        <v>37</v>
      </c>
      <c r="F24" s="109">
        <f ca="1">2*F20*1000/($F$9*G15)</f>
        <v>-2588.1775048258537</v>
      </c>
      <c r="G24" s="122" t="s">
        <v>3</v>
      </c>
      <c r="H24" s="140"/>
    </row>
    <row r="25" spans="1:8" x14ac:dyDescent="0.25">
      <c r="A25" s="139" t="s">
        <v>38</v>
      </c>
      <c r="B25" s="109">
        <f ca="1">B21*1000/($B$9*(C13+C14)/2)</f>
        <v>-1537.7289187622741</v>
      </c>
      <c r="C25" s="122" t="s">
        <v>3</v>
      </c>
      <c r="D25" s="140"/>
      <c r="E25" s="157" t="s">
        <v>38</v>
      </c>
      <c r="F25" s="109">
        <f ca="1">F21*1000/($F$9*(G13+G14)/2)</f>
        <v>5176.3550096517065</v>
      </c>
      <c r="G25" s="122" t="s">
        <v>3</v>
      </c>
      <c r="H25" s="140"/>
    </row>
    <row r="26" spans="1:8" ht="15.75" thickBot="1" x14ac:dyDescent="0.3">
      <c r="A26" s="232" t="s">
        <v>113</v>
      </c>
      <c r="B26" s="233"/>
      <c r="C26" s="233"/>
      <c r="D26" s="234"/>
      <c r="E26" s="236" t="s">
        <v>113</v>
      </c>
      <c r="F26" s="233"/>
      <c r="G26" s="233"/>
      <c r="H26" s="234"/>
    </row>
    <row r="27" spans="1:8" ht="15.75" thickTop="1" x14ac:dyDescent="0.25">
      <c r="A27" s="174" t="s">
        <v>128</v>
      </c>
      <c r="B27" s="175">
        <v>8</v>
      </c>
      <c r="C27" s="176" t="s">
        <v>151</v>
      </c>
      <c r="D27" s="177" t="s">
        <v>44</v>
      </c>
      <c r="E27" s="178" t="s">
        <v>128</v>
      </c>
      <c r="F27" s="175">
        <v>7</v>
      </c>
      <c r="G27" s="176" t="s">
        <v>151</v>
      </c>
      <c r="H27" s="177" t="s">
        <v>44</v>
      </c>
    </row>
    <row r="28" spans="1:8" x14ac:dyDescent="0.25">
      <c r="A28" s="141" t="s">
        <v>99</v>
      </c>
      <c r="B28" s="111">
        <f ca="1">30.48424863/(B13^1.19870133)+2.07436008</f>
        <v>2.7851979010482584</v>
      </c>
      <c r="C28" s="110" t="s">
        <v>152</v>
      </c>
      <c r="D28" s="142">
        <v>100000</v>
      </c>
      <c r="E28" s="124" t="s">
        <v>99</v>
      </c>
      <c r="F28" s="111">
        <f ca="1">30.48424863/(F13^1.19870133)+2.07436008</f>
        <v>2.5040934475578007</v>
      </c>
      <c r="G28" s="110" t="s">
        <v>152</v>
      </c>
      <c r="H28" s="142">
        <v>100000</v>
      </c>
    </row>
    <row r="29" spans="1:8" x14ac:dyDescent="0.25">
      <c r="A29" s="141" t="s">
        <v>100</v>
      </c>
      <c r="B29" s="111">
        <f ca="1">0.21851279*LOG(2.59057333*B13)+0.73735273</f>
        <v>1.1252399679985827</v>
      </c>
      <c r="C29" s="110" t="s">
        <v>108</v>
      </c>
      <c r="D29" s="143">
        <v>2</v>
      </c>
      <c r="E29" s="124" t="s">
        <v>100</v>
      </c>
      <c r="F29" s="111">
        <f ca="1">0.21851279*LOG(2.59057333*F13)+0.73735273</f>
        <v>1.1650836356505385</v>
      </c>
      <c r="G29" s="110" t="s">
        <v>108</v>
      </c>
      <c r="H29" s="143">
        <v>2</v>
      </c>
    </row>
    <row r="30" spans="1:8" x14ac:dyDescent="0.25">
      <c r="A30" s="141" t="s">
        <v>126</v>
      </c>
      <c r="B30" s="111">
        <f ca="1">(SQRT(D13^2-(C13*COS(20*PI()/180))^2)+SQRT(D14^2-(C14*COS(20*PI()/180))^2)-(C13+C14)*SIN(20*PI()/180))/(2*PI()*B11*COS(20*PI()/180))</f>
        <v>2.0868594498034305</v>
      </c>
      <c r="C30" s="110" t="s">
        <v>109</v>
      </c>
      <c r="D30" s="143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1.4758747792069531</v>
      </c>
      <c r="E30" s="124" t="s">
        <v>126</v>
      </c>
      <c r="F30" s="111">
        <f ca="1">(SQRT(H13^2-(G13*COS(20*PI()/180))^2)+SQRT(H14^2-(G14*COS(20*PI()/180))^2)-(G13+G14)*SIN(20*PI()/180))/(2*PI()*F11*COS(20*PI()/180))</f>
        <v>1.5943548129884628</v>
      </c>
      <c r="G30" s="110" t="s">
        <v>109</v>
      </c>
      <c r="H30" s="143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1.4758747792069531</v>
      </c>
    </row>
    <row r="31" spans="1:8" x14ac:dyDescent="0.25">
      <c r="A31" s="141" t="s">
        <v>101</v>
      </c>
      <c r="B31" s="111">
        <f ca="1">0.25+0.75*COS(B5)^2/B30</f>
        <v>0.60939171661543634</v>
      </c>
      <c r="C31" s="110" t="s">
        <v>110</v>
      </c>
      <c r="D31" s="143">
        <v>1</v>
      </c>
      <c r="E31" s="124" t="s">
        <v>101</v>
      </c>
      <c r="F31" s="111">
        <f ca="1">0.25+0.75*COS(F5)^2/F30</f>
        <v>0.72040971927333919</v>
      </c>
      <c r="G31" s="110" t="s">
        <v>110</v>
      </c>
      <c r="H31" s="143">
        <v>1</v>
      </c>
    </row>
    <row r="32" spans="1:8" x14ac:dyDescent="0.25">
      <c r="A32" s="141" t="s">
        <v>127</v>
      </c>
      <c r="B32" s="111">
        <f ca="1">B3*SIN(B5*PI()/180)/(B10*PI())</f>
        <v>0</v>
      </c>
      <c r="C32" s="110" t="s">
        <v>153</v>
      </c>
      <c r="D32" s="143">
        <f>-0.37962368*(B8*0.81654938)^0.11156858+1.48249712</f>
        <v>1.0492813271172583</v>
      </c>
      <c r="E32" s="124" t="s">
        <v>127</v>
      </c>
      <c r="F32" s="111">
        <f ca="1">F3*SIN(F5*PI()/180)/(F10*PI())</f>
        <v>0</v>
      </c>
      <c r="G32" s="110" t="s">
        <v>153</v>
      </c>
      <c r="H32" s="143">
        <f>-0.37962368*(F8*0.81654938)^0.11156858+1.48249712</f>
        <v>1.0629651677454528</v>
      </c>
    </row>
    <row r="33" spans="1:8" x14ac:dyDescent="0.25">
      <c r="A33" s="141" t="s">
        <v>102</v>
      </c>
      <c r="B33" s="111">
        <f ca="1">IF(B5&gt;30,1-B32*30/120,1-B32*B5/120)</f>
        <v>1</v>
      </c>
      <c r="C33" s="110" t="s">
        <v>111</v>
      </c>
      <c r="D33" s="143">
        <v>1</v>
      </c>
      <c r="E33" s="124" t="s">
        <v>102</v>
      </c>
      <c r="F33" s="111">
        <f ca="1">IF(F5&gt;30,1-F32*30/120,1-F32*F5/120)</f>
        <v>1</v>
      </c>
      <c r="G33" s="110" t="s">
        <v>111</v>
      </c>
      <c r="H33" s="143">
        <v>1</v>
      </c>
    </row>
    <row r="34" spans="1:8" x14ac:dyDescent="0.25">
      <c r="A34" s="141" t="s">
        <v>129</v>
      </c>
      <c r="B34" s="111">
        <f ca="1">B23/B3</f>
        <v>38.443222969056848</v>
      </c>
      <c r="C34" s="123" t="s">
        <v>130</v>
      </c>
      <c r="D34" s="161"/>
      <c r="E34" s="124" t="s">
        <v>129</v>
      </c>
      <c r="F34" s="111">
        <f ca="1">ABS(F23/F3)</f>
        <v>64.704437620646345</v>
      </c>
      <c r="G34" s="112" t="s">
        <v>130</v>
      </c>
      <c r="H34" s="144"/>
    </row>
    <row r="35" spans="1:8" x14ac:dyDescent="0.25">
      <c r="A35" s="141" t="s">
        <v>103</v>
      </c>
      <c r="B35" s="111">
        <f ca="1">IF(B34&gt;=100,INDIRECT("Pomožno!"&amp;ADDRESS(IF(B5=0,2,3),($B$27-4))),INDIRECT("Pomožno!"&amp;ADDRESS(IF(B5=0,2,3),(9))))</f>
        <v>1.6409806249976671</v>
      </c>
      <c r="C35" s="123"/>
      <c r="D35" s="161"/>
      <c r="E35" s="124" t="s">
        <v>103</v>
      </c>
      <c r="F35" s="111">
        <f ca="1">IF(F34&gt;=100,INDIRECT("Pomožno!"&amp;ADDRESS(IF(F5=0,2,3),($B$27-4))),INDIRECT("Pomožno!"&amp;ADDRESS(IF(F5=0,2,3),(9))))</f>
        <v>1.6409806249976671</v>
      </c>
      <c r="G35" s="112"/>
      <c r="H35" s="144"/>
    </row>
    <row r="36" spans="1:8" x14ac:dyDescent="0.25">
      <c r="A36" s="141" t="s">
        <v>135</v>
      </c>
      <c r="B36" s="111">
        <f ca="1">INDIRECT("Pomožno!"&amp;ADDRESS(8,IF(B3&lt;=20,2,IF(B3&lt;=40,3,IF(B3&lt;=100,4,IF(B3&lt;=200,5,IF(B3&lt;=315,6,IF(B3&lt;=560,7,8))))))))</f>
        <v>6</v>
      </c>
      <c r="C36" s="125" t="s">
        <v>144</v>
      </c>
      <c r="D36" s="161"/>
      <c r="E36" s="124" t="s">
        <v>135</v>
      </c>
      <c r="F36" s="111">
        <f ca="1">INDIRECT("Pomožno!"&amp;ADDRESS(8,IF(F3&lt;=20,2,IF(F3&lt;=40,3,IF(F3&lt;=100,4,IF(F3&lt;=200,5,IF(F3&lt;=315,6,IF(F3&lt;=560,7,8))))))))</f>
        <v>7</v>
      </c>
      <c r="G36" s="113" t="s">
        <v>144</v>
      </c>
      <c r="H36" s="144"/>
    </row>
    <row r="37" spans="1:8" x14ac:dyDescent="0.25">
      <c r="A37" s="141" t="s">
        <v>136</v>
      </c>
      <c r="B37" s="111">
        <f ca="1">INDIRECT("Pomožno!"&amp;ADDRESS(B27+5,IF(B3&lt;=20,2,IF(B3&lt;=40,3,4))))</f>
        <v>16</v>
      </c>
      <c r="C37" s="125" t="s">
        <v>144</v>
      </c>
      <c r="D37" s="161"/>
      <c r="E37" s="124" t="s">
        <v>136</v>
      </c>
      <c r="F37" s="111">
        <f ca="1">INDIRECT("Pomožno!"&amp;ADDRESS(F27+5,IF(F3&lt;=20,2,IF(F3&lt;=40,3,4))))</f>
        <v>13</v>
      </c>
      <c r="G37" s="113" t="s">
        <v>144</v>
      </c>
      <c r="H37" s="144"/>
    </row>
    <row r="38" spans="1:8" x14ac:dyDescent="0.25">
      <c r="A38" s="141" t="s">
        <v>134</v>
      </c>
      <c r="B38" s="111">
        <f ca="1">B37+B36</f>
        <v>22</v>
      </c>
      <c r="C38" s="125" t="s">
        <v>144</v>
      </c>
      <c r="D38" s="161"/>
      <c r="E38" s="124" t="s">
        <v>134</v>
      </c>
      <c r="F38" s="111">
        <f ca="1">F37+F36</f>
        <v>20</v>
      </c>
      <c r="G38" s="113" t="s">
        <v>144</v>
      </c>
      <c r="H38" s="144"/>
    </row>
    <row r="39" spans="1:8" x14ac:dyDescent="0.25">
      <c r="A39" s="141" t="s">
        <v>148</v>
      </c>
      <c r="B39" s="111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6.3141775264299085</v>
      </c>
      <c r="C39" s="125" t="s">
        <v>144</v>
      </c>
      <c r="D39" s="161"/>
      <c r="E39" s="124" t="s">
        <v>148</v>
      </c>
      <c r="F39" s="111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5.6845222941197022</v>
      </c>
      <c r="G39" s="113" t="s">
        <v>144</v>
      </c>
      <c r="H39" s="144"/>
    </row>
    <row r="40" spans="1:8" x14ac:dyDescent="0.25">
      <c r="A40" s="141" t="s">
        <v>147</v>
      </c>
      <c r="B40" s="111">
        <f ca="1">B38-B39</f>
        <v>15.685822473570092</v>
      </c>
      <c r="C40" s="125" t="s">
        <v>144</v>
      </c>
      <c r="D40" s="161"/>
      <c r="E40" s="124" t="s">
        <v>147</v>
      </c>
      <c r="F40" s="111">
        <f ca="1">F38-F39</f>
        <v>14.315477705880298</v>
      </c>
      <c r="G40" s="113" t="s">
        <v>144</v>
      </c>
      <c r="H40" s="144"/>
    </row>
    <row r="41" spans="1:8" x14ac:dyDescent="0.25">
      <c r="A41" s="141" t="s">
        <v>157</v>
      </c>
      <c r="B41" s="111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0.78150999528637088</v>
      </c>
      <c r="C41" s="126"/>
      <c r="D41" s="145"/>
      <c r="E41" s="124" t="s">
        <v>157</v>
      </c>
      <c r="F41" s="111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0.82003936100826458</v>
      </c>
      <c r="G41" s="126"/>
      <c r="H41" s="145"/>
    </row>
    <row r="42" spans="1:8" x14ac:dyDescent="0.25">
      <c r="A42" s="141" t="s">
        <v>104</v>
      </c>
      <c r="B42" s="114">
        <f ca="1">-0.0319307*1/B41^3+0.19815432*1/B41^2+0.9507587*1/B41+0.64675911+0.06731031*B41-0.00378044*B41^2</f>
        <v>2.1711634645494273</v>
      </c>
      <c r="C42" s="128"/>
      <c r="D42" s="146"/>
      <c r="E42" s="124" t="s">
        <v>104</v>
      </c>
      <c r="F42" s="114">
        <f ca="1">-0.0319307*1/F41^3+0.19815432*1/F41^2+0.9507587*1/F41+0.64675911+0.06731031*F41-0.00378044*F41^2</f>
        <v>2.0955855364188403</v>
      </c>
      <c r="G42" s="128"/>
      <c r="H42" s="146"/>
    </row>
    <row r="43" spans="1:8" x14ac:dyDescent="0.25">
      <c r="A43" s="141" t="s">
        <v>105</v>
      </c>
      <c r="B43" s="111">
        <v>1.25</v>
      </c>
      <c r="C43" s="128"/>
      <c r="D43" s="146"/>
      <c r="E43" s="124" t="s">
        <v>105</v>
      </c>
      <c r="F43" s="111">
        <v>1.25</v>
      </c>
      <c r="G43" s="128"/>
      <c r="H43" s="146"/>
    </row>
    <row r="44" spans="1:8" x14ac:dyDescent="0.25">
      <c r="A44" s="141" t="s">
        <v>149</v>
      </c>
      <c r="B44" s="111">
        <f ca="1">INDIRECT("Pomožno!"&amp;ADDRESS(IF(B5=0,19,20),B27-3))</f>
        <v>24.5</v>
      </c>
      <c r="C44" s="128"/>
      <c r="D44" s="146"/>
      <c r="E44" s="124" t="s">
        <v>149</v>
      </c>
      <c r="F44" s="111">
        <f ca="1">INDIRECT("Pomožno!"&amp;ADDRESS(IF(F5=0,19,20),F27-3))</f>
        <v>15.3</v>
      </c>
      <c r="G44" s="128"/>
      <c r="H44" s="146"/>
    </row>
    <row r="45" spans="1:8" x14ac:dyDescent="0.25">
      <c r="A45" s="141" t="s">
        <v>106</v>
      </c>
      <c r="B45" s="111">
        <f ca="1">1+(B44/(B43*B23/B3)+IF(B5=0,0.0193,0.0087))*B13*(PI()*C13/(Korak_1!C5*1000))/100*SQRT((B14/B13)^2/(1+(B14/B13)^2))</f>
        <v>1.0003536903510701</v>
      </c>
      <c r="C45" s="127"/>
      <c r="D45" s="147"/>
      <c r="E45" s="124" t="s">
        <v>106</v>
      </c>
      <c r="F45" s="111">
        <f ca="1">1+(F44/(F43*F23/F3)+IF(F5=0,0.0193,0.0087))*F13*(PI()*G13/(Korak_1!C5*1000))/100*SQRT((F14/F13)^2/(1+(F14/F13)^2))</f>
        <v>0.99967514361099707</v>
      </c>
      <c r="G45" s="127"/>
      <c r="H45" s="147"/>
    </row>
    <row r="46" spans="1:8" x14ac:dyDescent="0.25">
      <c r="A46" s="141" t="s">
        <v>107</v>
      </c>
      <c r="B46" s="111">
        <v>1.2</v>
      </c>
      <c r="C46" s="110" t="s">
        <v>155</v>
      </c>
      <c r="D46" s="24">
        <v>1.6</v>
      </c>
      <c r="E46" s="124" t="s">
        <v>107</v>
      </c>
      <c r="F46" s="111">
        <v>1.2</v>
      </c>
      <c r="G46" s="110" t="s">
        <v>155</v>
      </c>
      <c r="H46" s="24">
        <v>1.6</v>
      </c>
    </row>
    <row r="47" spans="1:8" x14ac:dyDescent="0.25">
      <c r="A47" s="148" t="s">
        <v>98</v>
      </c>
      <c r="B47" s="116">
        <f ca="1">B23/(B3*B10)*B28*B29*B31*B33*B35*B42*B43*B45*B46</f>
        <v>392.51689920108737</v>
      </c>
      <c r="C47" s="115" t="s">
        <v>112</v>
      </c>
      <c r="D47" s="143">
        <f>B6*D29*D30*D31*D32*D33/D46</f>
        <v>696.87353114332302</v>
      </c>
      <c r="E47" s="158" t="s">
        <v>98</v>
      </c>
      <c r="F47" s="116">
        <f ca="1">ABS(F23)/(F3*F10)*F28*F29*F31*F33*F35*F42*F43*F45*F46</f>
        <v>510.00867672466291</v>
      </c>
      <c r="G47" s="115" t="s">
        <v>112</v>
      </c>
      <c r="H47" s="143">
        <f>F6*H29*H30*H31*H32*H33/H46</f>
        <v>705.96156701295081</v>
      </c>
    </row>
    <row r="48" spans="1:8" ht="15.75" thickBot="1" x14ac:dyDescent="0.3">
      <c r="A48" s="235" t="s">
        <v>114</v>
      </c>
      <c r="B48" s="224"/>
      <c r="C48" s="224"/>
      <c r="D48" s="225"/>
      <c r="E48" s="223" t="s">
        <v>114</v>
      </c>
      <c r="F48" s="224"/>
      <c r="G48" s="224"/>
      <c r="H48" s="225"/>
    </row>
    <row r="49" spans="1:13" ht="15.75" thickTop="1" x14ac:dyDescent="0.25">
      <c r="A49" s="179" t="s">
        <v>115</v>
      </c>
      <c r="B49" s="180">
        <f>SQRT(2/(COS(20*PI()/180)^2*TAN(20*PI()/180)))</f>
        <v>2.4945731713945873</v>
      </c>
      <c r="C49" s="181" t="s">
        <v>151</v>
      </c>
      <c r="D49" s="177" t="s">
        <v>159</v>
      </c>
      <c r="E49" s="182" t="s">
        <v>115</v>
      </c>
      <c r="F49" s="180">
        <f>SQRT(2/(COS(20*PI()/180)^2*TAN(20*PI()/180)))</f>
        <v>2.4945731713945873</v>
      </c>
      <c r="G49" s="181" t="s">
        <v>151</v>
      </c>
      <c r="H49" s="177" t="s">
        <v>159</v>
      </c>
    </row>
    <row r="50" spans="1:13" x14ac:dyDescent="0.25">
      <c r="A50" s="149" t="s">
        <v>116</v>
      </c>
      <c r="B50" s="118">
        <f>SQRT(1/(PI()*2*(1-0.3^2)/210000))</f>
        <v>191.64567250641841</v>
      </c>
      <c r="C50" s="117" t="s">
        <v>123</v>
      </c>
      <c r="D50" s="150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1.6</v>
      </c>
      <c r="E50" s="159" t="s">
        <v>116</v>
      </c>
      <c r="F50" s="118">
        <f>SQRT(1/(PI()*2*(1-0.3^2)/210000))</f>
        <v>191.64567250641841</v>
      </c>
      <c r="G50" s="117" t="s">
        <v>123</v>
      </c>
      <c r="H50" s="150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1.6</v>
      </c>
    </row>
    <row r="51" spans="1:13" x14ac:dyDescent="0.25">
      <c r="A51" s="149" t="s">
        <v>117</v>
      </c>
      <c r="B51" s="118">
        <f ca="1">SQRT((4-B30)/3)</f>
        <v>0.79856966930393103</v>
      </c>
      <c r="C51" s="117" t="s">
        <v>158</v>
      </c>
      <c r="D51" s="150">
        <v>0.92</v>
      </c>
      <c r="E51" s="159" t="s">
        <v>117</v>
      </c>
      <c r="F51" s="118">
        <f ca="1">SQRT((4-F30)/3)</f>
        <v>0.8954784916478149</v>
      </c>
      <c r="G51" s="117" t="s">
        <v>158</v>
      </c>
      <c r="H51" s="150">
        <v>0.92</v>
      </c>
    </row>
    <row r="52" spans="1:13" x14ac:dyDescent="0.25">
      <c r="A52" s="149" t="s">
        <v>118</v>
      </c>
      <c r="B52" s="118">
        <v>1</v>
      </c>
      <c r="C52" s="117" t="s">
        <v>124</v>
      </c>
      <c r="D52" s="150">
        <v>1</v>
      </c>
      <c r="E52" s="159" t="s">
        <v>118</v>
      </c>
      <c r="F52" s="118">
        <v>1</v>
      </c>
      <c r="G52" s="117" t="s">
        <v>124</v>
      </c>
      <c r="H52" s="150">
        <v>1</v>
      </c>
    </row>
    <row r="53" spans="1:13" x14ac:dyDescent="0.25">
      <c r="A53" s="149" t="s">
        <v>119</v>
      </c>
      <c r="B53" s="118">
        <f ca="1">IF(B34&gt;=100,INDIRECT("Pomožno!"&amp;ADDRESS(IF(B5=0,5,6),($B$27-4))),INDIRECT("Pomožno!"&amp;ADDRESS(IF(B5=0,5,6),(9))))</f>
        <v>1.5681022493050807</v>
      </c>
      <c r="C53" s="117" t="s">
        <v>125</v>
      </c>
      <c r="D53" s="150">
        <f>D33</f>
        <v>1</v>
      </c>
      <c r="E53" s="159" t="s">
        <v>119</v>
      </c>
      <c r="F53" s="118">
        <f ca="1">IF(F34&gt;=100,INDIRECT("Pomožno!"&amp;ADDRESS(IF(F5=0,5,6),($B$27-4))),INDIRECT("Pomožno!"&amp;ADDRESS(IF(F5=0,5,6),(9))))</f>
        <v>1.5681022493050807</v>
      </c>
      <c r="G53" s="117" t="s">
        <v>125</v>
      </c>
      <c r="H53" s="150">
        <f>H33</f>
        <v>1</v>
      </c>
    </row>
    <row r="54" spans="1:13" x14ac:dyDescent="0.25">
      <c r="A54" s="149" t="s">
        <v>120</v>
      </c>
      <c r="B54" s="118">
        <f ca="1">-0.53221923*1/B41^3+2.2669944*1/B41^2-1.15718491*1/B41+1.53876373-0.07251802*B41+0.00334131*B41^2</f>
        <v>2.6001686658782353</v>
      </c>
      <c r="C54" s="117" t="s">
        <v>156</v>
      </c>
      <c r="D54" s="24">
        <v>1.3</v>
      </c>
      <c r="E54" s="159" t="s">
        <v>120</v>
      </c>
      <c r="F54" s="118">
        <f ca="1">-0.53221923*1/F41^3+2.2669944*1/F41^2-1.15718491*1/F41+1.53876373-0.07251802*F41+0.00334131*F41^2</f>
        <v>2.476451270318917</v>
      </c>
      <c r="G54" s="117" t="s">
        <v>156</v>
      </c>
      <c r="H54" s="24">
        <v>1.2</v>
      </c>
    </row>
    <row r="55" spans="1:13" ht="15.75" thickBot="1" x14ac:dyDescent="0.3">
      <c r="A55" s="151" t="s">
        <v>121</v>
      </c>
      <c r="B55" s="22">
        <f ca="1">B49*B50*B51*B52*SQRT(B23/(B3*C13)*(C14/C13+1)/(C14/C13)*B53*B54*B43*B45)</f>
        <v>1256.2503982893584</v>
      </c>
      <c r="C55" s="152" t="s">
        <v>122</v>
      </c>
      <c r="D55" s="153">
        <f>B7*D50*D51*D52*D53/D54</f>
        <v>1324.8</v>
      </c>
      <c r="E55" s="160" t="s">
        <v>121</v>
      </c>
      <c r="F55" s="22">
        <f ca="1">F49*F50*F51*F52*SQRT(ABS(F23)/(F3*G13)*(G14/G13+1)/(G14/G13)*F53*F54*F43*F45)</f>
        <v>1371.7953304007447</v>
      </c>
      <c r="G55" s="152" t="s">
        <v>122</v>
      </c>
      <c r="H55" s="153">
        <f>F7*H50*H51*H52*H53/H54</f>
        <v>1435.2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10" priority="4" operator="lessThan">
      <formula>$D$47</formula>
    </cfRule>
  </conditionalFormatting>
  <conditionalFormatting sqref="B55">
    <cfRule type="cellIs" dxfId="9" priority="3" operator="lessThan">
      <formula>$D$55</formula>
    </cfRule>
  </conditionalFormatting>
  <conditionalFormatting sqref="F47">
    <cfRule type="cellIs" dxfId="8" priority="2" operator="lessThan">
      <formula>$H$47</formula>
    </cfRule>
  </conditionalFormatting>
  <conditionalFormatting sqref="F55">
    <cfRule type="cellIs" dxfId="7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enačbe">
                <anchor moveWithCells="1" sizeWithCells="1">
                  <from>
                    <xdr:col>9</xdr:col>
                    <xdr:colOff>28575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5" priority="6" operator="containsText" text="ne">
      <formula>NOT(ISERROR(SEARCH("ne",B10)))</formula>
    </cfRule>
  </conditionalFormatting>
  <conditionalFormatting sqref="C10:C16">
    <cfRule type="containsText" dxfId="4" priority="5" operator="containsText" text="da">
      <formula>NOT(ISERROR(SEARCH("da",C10)))</formula>
    </cfRule>
  </conditionalFormatting>
  <conditionalFormatting sqref="C6">
    <cfRule type="cellIs" dxfId="3" priority="4" operator="greaterThan">
      <formula>$B$7-2*(5+2.25*$G$2)</formula>
    </cfRule>
  </conditionalFormatting>
  <conditionalFormatting sqref="F10:F16">
    <cfRule type="containsText" dxfId="2" priority="3" operator="containsText" text="ne">
      <formula>NOT(ISERROR(SEARCH("ne",F10)))</formula>
    </cfRule>
  </conditionalFormatting>
  <conditionalFormatting sqref="G10:G16">
    <cfRule type="containsText" dxfId="1" priority="2" operator="containsText" text="da">
      <formula>NOT(ISERROR(SEARCH("da",G10)))</formula>
    </cfRule>
  </conditionalFormatting>
  <conditionalFormatting sqref="G6">
    <cfRule type="cellIs" dxfId="0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L5" sqref="L5:Y32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1.6409806249976671</v>
      </c>
      <c r="G2" s="48">
        <f ca="1">1/Korak_3!$B$31</f>
        <v>1.6409806249976671</v>
      </c>
      <c r="H2" s="48">
        <f ca="1">1/Korak_3!$B$31</f>
        <v>1.6409806249976671</v>
      </c>
      <c r="I2" s="84">
        <f ca="1">1/Korak_3!$B$31</f>
        <v>1.6409806249976671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2.0868594498034305</v>
      </c>
      <c r="G3" s="86">
        <f ca="1">Korak_3!$B$30/COS(Korak_3!$B$5)^2</f>
        <v>2.0868594498034305</v>
      </c>
      <c r="H3" s="86">
        <f ca="1">Korak_3!$B$30/COS(Korak_3!$B$5)^2</f>
        <v>2.0868594498034305</v>
      </c>
      <c r="I3" s="87">
        <f ca="1">Korak_3!$B$30/COS(Korak_3!$B$5)^2</f>
        <v>2.0868594498034305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1.5681022493050807</v>
      </c>
      <c r="G5" s="48">
        <f ca="1">1/Korak_3!$B$51^2</f>
        <v>1.5681022493050807</v>
      </c>
      <c r="H5" s="48">
        <f ca="1">1/Korak_3!$B$51^2</f>
        <v>1.5681022493050807</v>
      </c>
      <c r="I5" s="84">
        <f ca="1">1/Korak_3!$B$51^2</f>
        <v>1.5681022493050807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2.0868594498034305</v>
      </c>
      <c r="G6" s="86">
        <f ca="1">Korak_3!$B$30/COS(Korak_3!$B$5)^2</f>
        <v>2.0868594498034305</v>
      </c>
      <c r="H6" s="86">
        <f ca="1">Korak_3!$B$30/COS(Korak_3!$B$5)^2</f>
        <v>2.0868594498034305</v>
      </c>
      <c r="I6" s="87">
        <f ca="1">Korak_3!$B$30/COS(Korak_3!$B$5)^2</f>
        <v>2.0868594498034305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2020-11-15T13:42:25Z</dcterms:modified>
</cp:coreProperties>
</file>